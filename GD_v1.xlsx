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3600" windowHeight="20500" tabRatio="600" firstSheet="0" activeTab="0" autoFilterDateGrouping="1"/>
  </bookViews>
  <sheets>
    <sheet xmlns:r="http://schemas.openxmlformats.org/officeDocument/2006/relationships" name="ProyectosTI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Sugerencia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0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6"/>
      <scheme val="minor"/>
    </font>
    <font>
      <name val="Arial"/>
      <family val="2"/>
      <b val="1"/>
      <color theme="0"/>
      <sz val="6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0"/>
      <sz val="10"/>
    </font>
    <font>
      <name val="Aptos Narrow"/>
      <family val="2"/>
      <b val="1"/>
      <color theme="0"/>
      <sz val="9"/>
      <scheme val="minor"/>
    </font>
    <font>
      <name val="Aptos Narrow"/>
      <family val="2"/>
      <color theme="1"/>
      <sz val="9"/>
      <scheme val="minor"/>
    </font>
    <font>
      <name val="Arial"/>
      <family val="2"/>
      <b val="1"/>
      <color theme="0"/>
      <sz val="9"/>
    </font>
    <font>
      <name val="Aptos Narrow"/>
      <b val="1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3" fillId="3" borderId="1" applyAlignment="1" pivotButton="0" quotePrefix="0" xfId="0">
      <alignment vertical="center" wrapText="1"/>
    </xf>
    <xf numFmtId="9" fontId="1" fillId="0" borderId="0" pivotButton="0" quotePrefix="0" xfId="1"/>
    <xf numFmtId="0" fontId="4" fillId="0" borderId="0" pivotButton="0" quotePrefix="0" xfId="0"/>
    <xf numFmtId="9" fontId="0" fillId="0" borderId="0" pivotButton="0" quotePrefix="0" xfId="1"/>
    <xf numFmtId="164" fontId="0" fillId="0" borderId="0" pivotButton="0" quotePrefix="0" xfId="0"/>
    <xf numFmtId="0" fontId="6" fillId="6" borderId="4" applyAlignment="1" pivotButton="0" quotePrefix="0" xfId="0">
      <alignment wrapText="1"/>
    </xf>
    <xf numFmtId="0" fontId="6" fillId="6" borderId="5" applyAlignment="1" pivotButton="0" quotePrefix="0" xfId="0">
      <alignment wrapText="1"/>
    </xf>
    <xf numFmtId="9" fontId="7" fillId="0" borderId="0" pivotButton="0" quotePrefix="0" xfId="1"/>
    <xf numFmtId="0" fontId="6" fillId="6" borderId="6" applyAlignment="1" pivotButton="0" quotePrefix="0" xfId="0">
      <alignment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7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R31"/>
  <sheetViews>
    <sheetView tabSelected="1" topLeftCell="BZ1" workbookViewId="0">
      <selection activeCell="CG26" sqref="CG26"/>
    </sheetView>
  </sheetViews>
  <sheetFormatPr baseColWidth="10" defaultColWidth="11.5" defaultRowHeight="16"/>
  <cols>
    <col width="13.33203125" customWidth="1" min="1" max="1"/>
    <col width="16.83203125" bestFit="1" customWidth="1" min="2" max="2"/>
    <col width="16.83203125" customWidth="1" min="3" max="3"/>
    <col width="19.1640625" customWidth="1" min="4" max="4"/>
    <col width="17.1640625" customWidth="1" min="5" max="6"/>
    <col width="21.33203125" customWidth="1" min="7" max="7"/>
    <col width="15.83203125" customWidth="1" min="8" max="8"/>
    <col width="15.5" customWidth="1" min="9" max="9"/>
    <col width="23.6640625" customWidth="1" min="10" max="10"/>
    <col width="10.6640625" bestFit="1" customWidth="1" style="8" min="11" max="11"/>
    <col width="21.1640625" bestFit="1" customWidth="1" min="12" max="12"/>
    <col width="10.6640625" customWidth="1" min="13" max="13"/>
    <col width="10" customWidth="1" min="14" max="14"/>
    <col width="10.6640625" customWidth="1" min="15" max="15"/>
    <col width="12.83203125" bestFit="1" customWidth="1" min="18" max="18"/>
    <col width="12" bestFit="1" customWidth="1" min="55" max="55"/>
  </cols>
  <sheetData>
    <row r="2">
      <c r="R2" s="9" t="inlineStr">
        <is>
          <t>DEPENDENCIA</t>
        </is>
      </c>
      <c r="BC2" s="9" t="inlineStr">
        <is>
          <t>DESCRIPCIÓN</t>
        </is>
      </c>
    </row>
    <row r="3">
      <c r="R3" s="20" t="inlineStr">
        <is>
          <t>Tren Transformación Back  OSS</t>
        </is>
      </c>
      <c r="S3" s="21" t="n"/>
      <c r="T3" s="21" t="n"/>
      <c r="U3" s="22" t="n"/>
      <c r="V3" s="20" t="inlineStr">
        <is>
          <t>Tren BSS  OCS</t>
        </is>
      </c>
      <c r="W3" s="21" t="n"/>
      <c r="X3" s="21" t="n"/>
      <c r="Y3" s="21" t="n"/>
      <c r="Z3" s="22" t="n"/>
      <c r="AA3" s="20" t="inlineStr">
        <is>
          <t>Tren Infraestructura y Shared Services</t>
        </is>
      </c>
      <c r="AB3" s="21" t="n"/>
      <c r="AC3" s="21" t="n"/>
      <c r="AD3" s="21" t="n"/>
      <c r="AE3" s="21" t="n"/>
      <c r="AF3" s="21" t="n"/>
      <c r="AG3" s="22" t="n"/>
      <c r="AH3" s="20" t="inlineStr">
        <is>
          <t>Tren Producción Digital</t>
        </is>
      </c>
      <c r="AI3" s="21" t="n"/>
      <c r="AJ3" s="21" t="n"/>
      <c r="AK3" s="22" t="n"/>
      <c r="AL3" s="23" t="inlineStr">
        <is>
          <t>TRENES NEGOCIO</t>
        </is>
      </c>
      <c r="AM3" s="21" t="n"/>
      <c r="AN3" s="21" t="n"/>
      <c r="AO3" s="21" t="n"/>
      <c r="AP3" s="21" t="n"/>
      <c r="AQ3" s="21" t="n"/>
      <c r="AR3" s="21" t="n"/>
      <c r="AS3" s="21" t="n"/>
      <c r="AT3" s="22" t="n"/>
      <c r="AU3" s="23" t="inlineStr">
        <is>
          <t>COEs</t>
        </is>
      </c>
      <c r="AV3" s="22" t="n"/>
      <c r="AW3" s="23" t="inlineStr">
        <is>
          <t>COE DESARROLLO</t>
        </is>
      </c>
      <c r="AX3" s="21" t="n"/>
      <c r="AY3" s="21" t="n"/>
      <c r="AZ3" s="21" t="n"/>
      <c r="BA3" s="21" t="n"/>
      <c r="BB3" s="22" t="n"/>
      <c r="BC3" s="20" t="inlineStr">
        <is>
          <t>Tren Transformación Back  OSS</t>
        </is>
      </c>
      <c r="BD3" s="21" t="n"/>
      <c r="BE3" s="21" t="n"/>
      <c r="BF3" s="22" t="n"/>
      <c r="BG3" s="20" t="inlineStr">
        <is>
          <t>Tren BSS  OCS</t>
        </is>
      </c>
      <c r="BH3" s="21" t="n"/>
      <c r="BI3" s="21" t="n"/>
      <c r="BJ3" s="21" t="n"/>
      <c r="BK3" s="22" t="n"/>
      <c r="BL3" s="20" t="inlineStr">
        <is>
          <t>Tren Infraestructura y Shared Services</t>
        </is>
      </c>
      <c r="BM3" s="21" t="n"/>
      <c r="BN3" s="21" t="n"/>
      <c r="BO3" s="21" t="n"/>
      <c r="BP3" s="21" t="n"/>
      <c r="BQ3" s="21" t="n"/>
      <c r="BR3" s="22" t="n"/>
      <c r="BS3" s="20" t="inlineStr">
        <is>
          <t>Tren Producción Digital</t>
        </is>
      </c>
      <c r="BT3" s="21" t="n"/>
      <c r="BU3" s="21" t="n"/>
      <c r="BV3" s="22" t="n"/>
      <c r="BW3" s="23" t="inlineStr">
        <is>
          <t>TRENES NEGOCIO</t>
        </is>
      </c>
      <c r="BX3" s="21" t="n"/>
      <c r="BY3" s="21" t="n"/>
      <c r="BZ3" s="21" t="n"/>
      <c r="CA3" s="21" t="n"/>
      <c r="CB3" s="21" t="n"/>
      <c r="CC3" s="21" t="n"/>
      <c r="CD3" s="21" t="n"/>
      <c r="CE3" s="22" t="n"/>
      <c r="CF3" s="23" t="inlineStr">
        <is>
          <t>COEs</t>
        </is>
      </c>
      <c r="CG3" s="22" t="n"/>
      <c r="CH3" s="23" t="inlineStr">
        <is>
          <t>COE DESARROLLO</t>
        </is>
      </c>
      <c r="CI3" s="21" t="n"/>
      <c r="CJ3" s="21" t="n"/>
      <c r="CK3" s="21" t="n"/>
      <c r="CL3" s="21" t="n"/>
      <c r="CM3" s="22" t="n"/>
    </row>
    <row r="4" ht="44" customFormat="1" customHeight="1" s="18">
      <c r="A4" s="12" t="inlineStr">
        <is>
          <t>ID</t>
        </is>
      </c>
      <c r="B4" s="13" t="inlineStr">
        <is>
          <t>Q_RADICADO</t>
        </is>
      </c>
      <c r="C4" s="13" t="inlineStr">
        <is>
          <t>PRIORIZADO</t>
        </is>
      </c>
      <c r="D4" s="13" t="inlineStr">
        <is>
          <t>ESTADO_PROYECTO</t>
        </is>
      </c>
      <c r="E4" s="13" t="inlineStr">
        <is>
          <t>NOMBRE_PROYECTO</t>
        </is>
      </c>
      <c r="F4" s="13" t="inlineStr">
        <is>
          <t>DESCRIPCION_PROYECTO</t>
        </is>
      </c>
      <c r="G4" s="13" t="inlineStr">
        <is>
          <t>RESPONSABLE_PROYECTO</t>
        </is>
      </c>
      <c r="H4" s="13" t="inlineStr">
        <is>
          <t>AREA_SOLICITANTE</t>
        </is>
      </c>
      <c r="I4" s="13" t="inlineStr">
        <is>
          <t>FECHA_INICIO</t>
        </is>
      </c>
      <c r="J4" s="13" t="inlineStr">
        <is>
          <t>FECHA_ESTIMADA_CIERRE</t>
        </is>
      </c>
      <c r="K4" s="14" t="inlineStr">
        <is>
          <t>LINEA_BASE</t>
        </is>
      </c>
      <c r="L4" s="15" t="inlineStr">
        <is>
          <t>LINEA_BASE_Q_GESTIÓN</t>
        </is>
      </c>
      <c r="M4" s="15" t="inlineStr">
        <is>
          <t>AVANCE</t>
        </is>
      </c>
      <c r="N4" s="15" t="inlineStr">
        <is>
          <t>ESTIMADO DE AVANCE</t>
        </is>
      </c>
      <c r="O4" s="15" t="inlineStr">
        <is>
          <t>% CUMPLIMIENTO</t>
        </is>
      </c>
      <c r="P4" s="15" t="inlineStr">
        <is>
          <t>CONTRIBUCIÓN</t>
        </is>
      </c>
      <c r="Q4" s="15" t="inlineStr">
        <is>
          <t>INICIATIVA_ESTRATEGICA</t>
        </is>
      </c>
      <c r="R4" s="16" t="inlineStr">
        <is>
          <t>CÉLULA OSS</t>
        </is>
      </c>
      <c r="S4" s="16" t="inlineStr">
        <is>
          <t>CÉLULA PLATAFORMAS INTEGRACIÓN</t>
        </is>
      </c>
      <c r="T4" s="16" t="inlineStr">
        <is>
          <t>CÉLULA SISTEMAS DE APOYO Y DRH
ATLANTIS</t>
        </is>
      </c>
      <c r="U4" s="16" t="inlineStr">
        <is>
          <t>CÉLULA SOPORTE CASA CLIENTE</t>
        </is>
      </c>
      <c r="V4" s="16" t="inlineStr">
        <is>
          <t>CÉLULA FULLSTAK PROYECTOS</t>
        </is>
      </c>
      <c r="W4" s="16" t="inlineStr">
        <is>
          <t>CÉLULA FULLSTACK SOPORTE</t>
        </is>
      </c>
      <c r="X4" s="16" t="inlineStr">
        <is>
          <t>CÉLULA CANALES</t>
        </is>
      </c>
      <c r="Y4" s="16" t="inlineStr">
        <is>
          <t>CÉLULA TASADORES</t>
        </is>
      </c>
      <c r="Z4" s="16" t="inlineStr">
        <is>
          <t>PARAMETRIZACIÓN</t>
        </is>
      </c>
      <c r="AA4" s="16" t="inlineStr">
        <is>
          <t>CÉLULA MONITOREO Y CAPACIDAD</t>
        </is>
      </c>
      <c r="AB4" s="16" t="inlineStr">
        <is>
          <t>CÉLULA PROBLEMAS E INCIDENTES</t>
        </is>
      </c>
      <c r="AC4" s="16" t="inlineStr">
        <is>
          <t>CÉLULA SAM GESTIÓN USUARIOS</t>
        </is>
      </c>
      <c r="AD4" s="16" t="inlineStr">
        <is>
          <t>CÉLULA AIOPS TI</t>
        </is>
      </c>
      <c r="AE4" s="16" t="inlineStr">
        <is>
          <t>CÉLULA HELPDESK</t>
        </is>
      </c>
      <c r="AF4" s="16" t="inlineStr">
        <is>
          <t>CÉLULA INFRAESTRUCTURA ON PREMISE</t>
        </is>
      </c>
      <c r="AG4" s="16" t="inlineStr">
        <is>
          <t>CÉLULA REDES TI</t>
        </is>
      </c>
      <c r="AH4" s="16" t="inlineStr">
        <is>
          <t>CÉLULA WORKPLACE</t>
        </is>
      </c>
      <c r="AI4" s="16" t="inlineStr">
        <is>
          <t>CÉLULA ARQUITECTURA</t>
        </is>
      </c>
      <c r="AJ4" s="16" t="inlineStr">
        <is>
          <t>CÉLULA INFRAESTRUCTURA NUBE</t>
        </is>
      </c>
      <c r="AK4" s="16" t="inlineStr">
        <is>
          <t>CÉLULA RPAS</t>
        </is>
      </c>
      <c r="AL4" s="16" t="inlineStr">
        <is>
          <t>TREN PRODUCTO B2C</t>
        </is>
      </c>
      <c r="AM4" s="16" t="inlineStr">
        <is>
          <t>TREN MOVISTAR TOTAL</t>
        </is>
      </c>
      <c r="AN4" s="16" t="inlineStr">
        <is>
          <t>TREN MÓVIL</t>
        </is>
      </c>
      <c r="AO4" s="16" t="inlineStr">
        <is>
          <t>TREN MARKETING B2B</t>
        </is>
      </c>
      <c r="AP4" s="16" t="inlineStr">
        <is>
          <t>TREN FARECO</t>
        </is>
      </c>
      <c r="AQ4" s="16" t="inlineStr">
        <is>
          <t>TREN E-CARE CROSS</t>
        </is>
      </c>
      <c r="AR4" s="16" t="inlineStr">
        <is>
          <t>TREN CANALES DE PAGO</t>
        </is>
      </c>
      <c r="AS4" s="16" t="inlineStr">
        <is>
          <t>TREN ATENCIÓN, RETENCIÓN CALL  CROSS</t>
        </is>
      </c>
      <c r="AT4" s="16" t="inlineStr">
        <is>
          <t xml:space="preserve">TREN SOPORTE A LA OPERACIÓN </t>
        </is>
      </c>
      <c r="AU4" s="16" t="inlineStr">
        <is>
          <t>COE CALIDAD Y EXPERIENCIA</t>
        </is>
      </c>
      <c r="AV4" s="16" t="inlineStr">
        <is>
          <t>COE DATA Y ANALÍTICA</t>
        </is>
      </c>
      <c r="AW4" s="16" t="inlineStr">
        <is>
          <t>CELULA CANALES REMOTOS</t>
        </is>
      </c>
      <c r="AX4" s="16" t="inlineStr">
        <is>
          <t>CELULA BPA</t>
        </is>
      </c>
      <c r="AY4" s="16" t="inlineStr">
        <is>
          <t>CÉLULA PRUEBAS</t>
        </is>
      </c>
      <c r="AZ4" s="16" t="inlineStr">
        <is>
          <t>CHAPTER DESARROLLO</t>
        </is>
      </c>
      <c r="BA4" s="16" t="inlineStr">
        <is>
          <t xml:space="preserve">GESTIÓN DE LA DEMANDA </t>
        </is>
      </c>
      <c r="BB4" s="16" t="inlineStr">
        <is>
          <t>CELULA DEVOPS</t>
        </is>
      </c>
      <c r="BC4" s="17" t="inlineStr">
        <is>
          <t>DESCRIPCION CÉLULA OSS</t>
        </is>
      </c>
      <c r="BD4" s="17" t="inlineStr">
        <is>
          <t>DESCRIPCION CÉLULA PLATAFORMAS INTEGRACIÓN</t>
        </is>
      </c>
      <c r="BE4" s="17" t="inlineStr">
        <is>
          <t>DESCRIPCION CÉLULA SISTEMAS DE APOYO Y DRH
ATLANTIS</t>
        </is>
      </c>
      <c r="BF4" s="17" t="inlineStr">
        <is>
          <t>DESCRIPCION CÉLULA SOPORTE CASA CLIENTE</t>
        </is>
      </c>
      <c r="BG4" s="17" t="inlineStr">
        <is>
          <t>DESCRIPCION CÉLULA FULLSTAK PROYECTOS</t>
        </is>
      </c>
      <c r="BH4" s="17" t="inlineStr">
        <is>
          <t>DESCRIPCION CÉLULA FULLSTACK SOPORTE</t>
        </is>
      </c>
      <c r="BI4" s="17" t="inlineStr">
        <is>
          <t>DESCRIPCION CÉLULA CANALES</t>
        </is>
      </c>
      <c r="BJ4" s="17" t="inlineStr">
        <is>
          <t>DESCRIPCION CÉLULA TASADORES</t>
        </is>
      </c>
      <c r="BK4" s="17" t="inlineStr">
        <is>
          <t>DESCRIPCION PARAMETRIZACIÓN</t>
        </is>
      </c>
      <c r="BL4" s="17" t="inlineStr">
        <is>
          <t>DESCRIPCION CÉLULA MONITOREO Y CAPACIDAD</t>
        </is>
      </c>
      <c r="BM4" s="17" t="inlineStr">
        <is>
          <t>DESCRIPCION CÉLULA PROBLEMAS E INCIDENTES</t>
        </is>
      </c>
      <c r="BN4" s="17" t="inlineStr">
        <is>
          <t>DESCRIPCION CÉLULA SAM GESTIÓN USUARIOS</t>
        </is>
      </c>
      <c r="BO4" s="17" t="inlineStr">
        <is>
          <t>DESCRIPCION CÉLULA AIOPS TI</t>
        </is>
      </c>
      <c r="BP4" s="17" t="inlineStr">
        <is>
          <t>DESCRIPCION CÉLULA HELPDESK</t>
        </is>
      </c>
      <c r="BQ4" s="17" t="inlineStr">
        <is>
          <t>DESCRIPCION CÉLULA INFRAESTRUCTURA ON PREMISE</t>
        </is>
      </c>
      <c r="BR4" s="17" t="inlineStr">
        <is>
          <t>DESCRIPCION CÉLULA REDES TI</t>
        </is>
      </c>
      <c r="BS4" s="17" t="inlineStr">
        <is>
          <t>DESCRIPCION CÉLULA WORKPLACE</t>
        </is>
      </c>
      <c r="BT4" s="17" t="inlineStr">
        <is>
          <t>DESCRIPCION CÉLULA ARQUITECTURA</t>
        </is>
      </c>
      <c r="BU4" s="17" t="inlineStr">
        <is>
          <t>DESCRIPCION CÉLULA INFRAESTRUCTURA NUBE</t>
        </is>
      </c>
      <c r="BV4" s="17" t="inlineStr">
        <is>
          <t>DESCRIPCION CÉLULA RPAS</t>
        </is>
      </c>
      <c r="BW4" s="17" t="inlineStr">
        <is>
          <t>DESCRIPCION TREN PRODUCTO B2C</t>
        </is>
      </c>
      <c r="BX4" s="17" t="inlineStr">
        <is>
          <t>DESCRIPCION TREN MOVISTAR TOTAL</t>
        </is>
      </c>
      <c r="BY4" s="17" t="inlineStr">
        <is>
          <t>DESCRIPCION TREN MÓVIL</t>
        </is>
      </c>
      <c r="BZ4" s="17" t="inlineStr">
        <is>
          <t>DESCRIPCION TREN MARKETING B2B</t>
        </is>
      </c>
      <c r="CA4" s="17" t="inlineStr">
        <is>
          <t>DESCRIPCION TREN FARECO</t>
        </is>
      </c>
      <c r="CB4" s="17" t="inlineStr">
        <is>
          <t>DESCRIPCION TREN E-CARE CROSS</t>
        </is>
      </c>
      <c r="CC4" s="17" t="inlineStr">
        <is>
          <t>DESCRIPCION TREN CANALES DE PAGO</t>
        </is>
      </c>
      <c r="CD4" s="17" t="inlineStr">
        <is>
          <t>DESCRIPCION TREN ATENCIÓN, RETENCIÓN CALL  CROSS</t>
        </is>
      </c>
      <c r="CE4" s="17" t="inlineStr">
        <is>
          <t xml:space="preserve">DESCRIPCION TREN SOPORTE A LA OPERACIÓN </t>
        </is>
      </c>
      <c r="CF4" s="17" t="inlineStr">
        <is>
          <t>DESCRIPCION COE CALIDAD Y EXPERIENCIA</t>
        </is>
      </c>
      <c r="CG4" s="17" t="inlineStr">
        <is>
          <t>DESCRIPCION COE DATA Y ANALÍTICA</t>
        </is>
      </c>
      <c r="CH4" s="17" t="inlineStr">
        <is>
          <t>DESCRIPCION CELULA CANALES REMOTOS</t>
        </is>
      </c>
      <c r="CI4" s="17" t="inlineStr">
        <is>
          <t>DESCRIPCION CELULA BPA</t>
        </is>
      </c>
      <c r="CJ4" s="17" t="inlineStr">
        <is>
          <t>DESCRIPCION CÉLULA PRUEBAS</t>
        </is>
      </c>
      <c r="CK4" s="17" t="inlineStr">
        <is>
          <t>DESCRIPCION CHAPTER DESARROLLO</t>
        </is>
      </c>
      <c r="CL4" s="17" t="inlineStr">
        <is>
          <t xml:space="preserve">DESCRIPCION GESTIÓN DE LA DEMANDA </t>
        </is>
      </c>
      <c r="CM4" s="17" t="inlineStr">
        <is>
          <t>DESCRIPCION CELULA DEVOPS</t>
        </is>
      </c>
      <c r="CN4" s="15" t="inlineStr">
        <is>
          <t>TOTAL_DEPENDENCIAS</t>
        </is>
      </c>
      <c r="CO4" s="15" t="inlineStr">
        <is>
          <t>TOTAL_DEP_NEGOCIADAS</t>
        </is>
      </c>
      <c r="CP4" s="15" t="inlineStr">
        <is>
          <t>TOTAL_DEP_PENDIENTES</t>
        </is>
      </c>
      <c r="CQ4" s="15" t="inlineStr">
        <is>
          <t>CUBRIMIENTO_DEP_%</t>
        </is>
      </c>
    </row>
    <row r="5">
      <c r="A5" t="n">
        <v>1</v>
      </c>
      <c r="B5" t="inlineStr">
        <is>
          <t>2Q/25</t>
        </is>
      </c>
      <c r="C5" t="inlineStr">
        <is>
          <t>SI</t>
        </is>
      </c>
      <c r="D5" t="inlineStr">
        <is>
          <t>Nuevo</t>
        </is>
      </c>
      <c r="E5" t="inlineStr">
        <is>
          <t>EDWIN</t>
        </is>
      </c>
      <c r="F5" t="inlineStr">
        <is>
          <t>A</t>
        </is>
      </c>
      <c r="G5" t="inlineStr">
        <is>
          <t>Adriana Mendieta Bermudez</t>
        </is>
      </c>
      <c r="H5" t="inlineStr">
        <is>
          <t>Call + Cross</t>
        </is>
      </c>
      <c r="I5" t="n">
        <v>1</v>
      </c>
      <c r="J5" t="n">
        <v>2</v>
      </c>
      <c r="K5" s="8" t="n">
        <v>0</v>
      </c>
      <c r="L5" s="10" t="n">
        <v>0.15</v>
      </c>
      <c r="M5" s="10" t="n">
        <v>0.35</v>
      </c>
      <c r="N5" s="10" t="n">
        <v>0.5</v>
      </c>
      <c r="O5" s="10">
        <f>M5/N5</f>
        <v/>
      </c>
      <c r="CN5">
        <f>COUNTIF(R5:BB5,"P")+COUNTIF(R5:BB5,"L")</f>
        <v/>
      </c>
    </row>
    <row r="6">
      <c r="A6" t="n">
        <v>2</v>
      </c>
      <c r="B6" t="inlineStr">
        <is>
          <t>4Q/25</t>
        </is>
      </c>
      <c r="C6" t="inlineStr">
        <is>
          <t>NO</t>
        </is>
      </c>
      <c r="D6" t="inlineStr">
        <is>
          <t>Detenido</t>
        </is>
      </c>
      <c r="E6" t="inlineStr">
        <is>
          <t>dOMINIC</t>
        </is>
      </c>
      <c r="F6" t="inlineStr">
        <is>
          <t>B</t>
        </is>
      </c>
      <c r="G6" t="inlineStr">
        <is>
          <t>Ana Yanneth Gonzalez Saenz</t>
        </is>
      </c>
      <c r="H6" t="inlineStr">
        <is>
          <t>COE Desarrollo TI</t>
        </is>
      </c>
      <c r="I6" t="n">
        <v>3</v>
      </c>
      <c r="J6" t="n">
        <v>4</v>
      </c>
      <c r="K6" s="8" t="n">
        <v>0</v>
      </c>
      <c r="L6" s="10" t="n">
        <v>0.35</v>
      </c>
      <c r="M6" s="10" t="n">
        <v>0.66</v>
      </c>
      <c r="N6" s="10" t="n">
        <v>0.5</v>
      </c>
      <c r="O6" s="10">
        <f>M6/N6</f>
        <v/>
      </c>
      <c r="CN6">
        <f>COUNTIF(R6:BB6,"P")+COUNTIF(R6:BB6,"L")</f>
        <v/>
      </c>
    </row>
    <row r="7">
      <c r="A7" t="n">
        <v>3</v>
      </c>
      <c r="B7" t="inlineStr">
        <is>
          <t>3Q/25 Priorizado</t>
        </is>
      </c>
      <c r="D7" t="inlineStr">
        <is>
          <t>Detenido</t>
        </is>
      </c>
      <c r="E7" t="inlineStr">
        <is>
          <t>ASAsaSSA</t>
        </is>
      </c>
      <c r="F7" t="inlineStr">
        <is>
          <t>C</t>
        </is>
      </c>
      <c r="G7" t="inlineStr">
        <is>
          <t>Edgar David Hernandez Aguirre</t>
        </is>
      </c>
      <c r="H7" t="inlineStr">
        <is>
          <t>Tren Atención B2B</t>
        </is>
      </c>
      <c r="I7" t="n">
        <v>2</v>
      </c>
      <c r="J7" t="n">
        <v>4</v>
      </c>
      <c r="K7" s="8" t="n">
        <v>0</v>
      </c>
      <c r="L7" s="10" t="n">
        <v>0.45</v>
      </c>
      <c r="M7" s="10" t="n">
        <v>0.55</v>
      </c>
      <c r="N7" s="10" t="n">
        <v>0.7</v>
      </c>
      <c r="O7" s="10">
        <f>M7/N7</f>
        <v/>
      </c>
      <c r="CN7">
        <f>COUNTIF(R7:BB7,"P")+COUNTIF(R7:BB7,"L")</f>
        <v/>
      </c>
    </row>
    <row r="8">
      <c r="A8" t="n">
        <v>4</v>
      </c>
      <c r="B8" t="inlineStr">
        <is>
          <t>3Q/25</t>
        </is>
      </c>
      <c r="D8" t="inlineStr">
        <is>
          <t>En curso</t>
        </is>
      </c>
      <c r="E8" t="inlineStr">
        <is>
          <t>sa</t>
        </is>
      </c>
      <c r="F8" t="inlineStr">
        <is>
          <t>D</t>
        </is>
      </c>
      <c r="G8" t="inlineStr">
        <is>
          <t>Adriana Patricia Velásquez Ardila</t>
        </is>
      </c>
      <c r="H8" t="inlineStr">
        <is>
          <t>CoE Control de Gestión</t>
        </is>
      </c>
      <c r="I8" t="inlineStr">
        <is>
          <t>24/11/2016</t>
        </is>
      </c>
      <c r="J8" t="inlineStr">
        <is>
          <t>24/12/2027</t>
        </is>
      </c>
      <c r="K8" s="8" t="n">
        <v>0</v>
      </c>
      <c r="L8" s="10" t="n">
        <v>0.66</v>
      </c>
      <c r="M8" s="10" t="n">
        <v>0.8</v>
      </c>
      <c r="N8" s="10" t="n">
        <v>1</v>
      </c>
      <c r="O8" s="10">
        <f>M8/N8</f>
        <v/>
      </c>
      <c r="CN8">
        <f>COUNTIF(R8:BB8,"P")+COUNTIF(R8:BB8,"L")</f>
        <v/>
      </c>
    </row>
    <row r="9">
      <c r="A9" t="n">
        <v>5</v>
      </c>
      <c r="B9" t="inlineStr">
        <is>
          <t>1Q/26 Priorizado</t>
        </is>
      </c>
      <c r="D9" t="inlineStr">
        <is>
          <t>Detenido</t>
        </is>
      </c>
      <c r="E9" t="inlineStr">
        <is>
          <t>jkknmnm</t>
        </is>
      </c>
      <c r="F9" t="inlineStr">
        <is>
          <t>E</t>
        </is>
      </c>
      <c r="G9" t="inlineStr">
        <is>
          <t>Adriana Patricia Velásquez Ardila</t>
        </is>
      </c>
      <c r="H9" t="inlineStr">
        <is>
          <t>CoE Marcomms</t>
        </is>
      </c>
      <c r="I9" t="inlineStr">
        <is>
          <t>14/11/2025</t>
        </is>
      </c>
      <c r="J9" t="inlineStr">
        <is>
          <t>14/11/2026</t>
        </is>
      </c>
      <c r="K9" s="8" t="n">
        <v>0</v>
      </c>
      <c r="L9" s="10" t="n">
        <v>0.77</v>
      </c>
      <c r="M9" s="10" t="n">
        <v>0.77</v>
      </c>
      <c r="N9" s="10" t="n">
        <v>1</v>
      </c>
      <c r="O9" s="10">
        <f>M9/N9</f>
        <v/>
      </c>
      <c r="CN9">
        <f>COUNTIF(R9:BB9,"P")+COUNTIF(R9:BB9,"L")</f>
        <v/>
      </c>
    </row>
    <row r="10">
      <c r="A10" t="n">
        <v>6</v>
      </c>
      <c r="B10" t="inlineStr">
        <is>
          <t>1Q/26</t>
        </is>
      </c>
      <c r="D10" t="inlineStr">
        <is>
          <t>Nuevo</t>
        </is>
      </c>
      <c r="E10" t="inlineStr">
        <is>
          <t>PRUEBA</t>
        </is>
      </c>
      <c r="F10" t="inlineStr">
        <is>
          <t>F</t>
        </is>
      </c>
      <c r="G10" t="inlineStr">
        <is>
          <t>Adriana Milena Rodriguez Cruz</t>
        </is>
      </c>
      <c r="H10" t="inlineStr">
        <is>
          <t>COE Desarrollo TI</t>
        </is>
      </c>
      <c r="I10" t="n">
        <v>123</v>
      </c>
      <c r="J10" t="n">
        <v>456</v>
      </c>
      <c r="K10" s="8" t="n">
        <v>0</v>
      </c>
      <c r="L10" s="10" t="n">
        <v>0.88</v>
      </c>
      <c r="M10" s="10" t="n">
        <v>0.88</v>
      </c>
      <c r="N10" s="10" t="n">
        <v>1</v>
      </c>
      <c r="O10" s="10">
        <f>M10/N10</f>
        <v/>
      </c>
      <c r="CN10">
        <f>COUNTIF(R10:BB10,"P")+COUNTIF(R10:BB10,"L")</f>
        <v/>
      </c>
    </row>
    <row r="11">
      <c r="A11" t="n">
        <v>7</v>
      </c>
      <c r="B11" t="inlineStr">
        <is>
          <t>1Q/26</t>
        </is>
      </c>
      <c r="C11" t="inlineStr">
        <is>
          <t>Nuevo</t>
        </is>
      </c>
      <c r="D11" t="inlineStr">
        <is>
          <t>ABC</t>
        </is>
      </c>
      <c r="E11" t="inlineStr">
        <is>
          <t>Adriana Milena Rodriguez Cruz</t>
        </is>
      </c>
      <c r="F11" t="inlineStr">
        <is>
          <t>COE Desarrollo TI</t>
        </is>
      </c>
      <c r="G11" t="n">
        <v>12</v>
      </c>
      <c r="H11" t="n">
        <v>22</v>
      </c>
      <c r="I11" t="inlineStr">
        <is>
          <t>0,12</t>
        </is>
      </c>
      <c r="N11" s="10" t="n">
        <v>0.5</v>
      </c>
      <c r="O11" s="10">
        <f>M11/N11</f>
        <v/>
      </c>
      <c r="CN11">
        <f>COUNTIF(R11:BB11,"P")+COUNTIF(R11:BB11,"L")</f>
        <v/>
      </c>
    </row>
    <row r="12">
      <c r="A12" t="n">
        <v>1</v>
      </c>
      <c r="B12" t="inlineStr">
        <is>
          <t>2Q/25 Priorizado</t>
        </is>
      </c>
      <c r="C12" t="inlineStr">
        <is>
          <t>SI</t>
        </is>
      </c>
      <c r="D12" t="inlineStr">
        <is>
          <t>Nuevo</t>
        </is>
      </c>
      <c r="E12" t="inlineStr">
        <is>
          <t>ABC</t>
        </is>
      </c>
      <c r="F12" t="inlineStr">
        <is>
          <t>ABC</t>
        </is>
      </c>
      <c r="G12" t="inlineStr">
        <is>
          <t>A</t>
        </is>
      </c>
      <c r="H12" t="inlineStr">
        <is>
          <t>B</t>
        </is>
      </c>
      <c r="I12" s="11" t="n">
        <v>45965</v>
      </c>
      <c r="J12" s="11" t="n">
        <v>45980</v>
      </c>
      <c r="K12" s="8" t="n">
        <v>0.25</v>
      </c>
      <c r="L12" s="8" t="n">
        <v>0.25</v>
      </c>
      <c r="M12" s="10" t="n">
        <v>0.55</v>
      </c>
      <c r="N12" s="10" t="n">
        <v>0.5</v>
      </c>
      <c r="O12" s="10">
        <f>M12/N12</f>
        <v/>
      </c>
      <c r="P12" t="n">
        <v>0</v>
      </c>
      <c r="Q12" t="inlineStr">
        <is>
          <t>Ebitda</t>
        </is>
      </c>
      <c r="CN12">
        <f>COUNTIF(R12:BB12,"P")+COUNTIF(R12:BB12,"L")</f>
        <v/>
      </c>
    </row>
    <row r="13">
      <c r="A13" t="n">
        <v>2</v>
      </c>
      <c r="B13" t="inlineStr">
        <is>
          <t>1Q/26</t>
        </is>
      </c>
      <c r="C13" t="inlineStr">
        <is>
          <t>NO</t>
        </is>
      </c>
      <c r="D13" t="inlineStr">
        <is>
          <t>Nuevo</t>
        </is>
      </c>
      <c r="E13" t="inlineStr">
        <is>
          <t>MTC</t>
        </is>
      </c>
      <c r="F13" t="inlineStr">
        <is>
          <t>sr
[Dep P] Célula Arquitectura · xyz</t>
        </is>
      </c>
      <c r="G13" t="inlineStr">
        <is>
          <t>Adriana Milena Rodriguez Cruz</t>
        </is>
      </c>
      <c r="H13" t="inlineStr">
        <is>
          <t>COE Desarrollo TI</t>
        </is>
      </c>
      <c r="I13" s="11" t="n">
        <v>45981</v>
      </c>
      <c r="J13" s="11" t="n">
        <v>45987</v>
      </c>
      <c r="K13" s="8" t="n">
        <v>0.55</v>
      </c>
      <c r="L13" s="8" t="n">
        <v>0.55</v>
      </c>
      <c r="M13" s="10" t="n">
        <v>0.55</v>
      </c>
      <c r="N13" s="10" t="n">
        <v>0.5</v>
      </c>
      <c r="O13" s="10">
        <f>M13/N13</f>
        <v/>
      </c>
      <c r="P13" t="n">
        <v>0</v>
      </c>
      <c r="CN13">
        <f>COUNTIF(R13:BB13,"P")+COUNTIF(R13:BB13,"L")</f>
        <v/>
      </c>
      <c r="CR13" t="n">
        <v>5</v>
      </c>
    </row>
    <row r="14">
      <c r="A14" t="n">
        <v>3</v>
      </c>
      <c r="B14" t="inlineStr">
        <is>
          <t>3Q/25</t>
        </is>
      </c>
      <c r="C14" t="inlineStr">
        <is>
          <t>SI</t>
        </is>
      </c>
      <c r="D14" t="inlineStr">
        <is>
          <t>Nuevo</t>
        </is>
      </c>
      <c r="E14" t="inlineStr">
        <is>
          <t>KRYPTON</t>
        </is>
      </c>
      <c r="F14" t="inlineStr">
        <is>
          <t>xxx</t>
        </is>
      </c>
      <c r="G14" t="inlineStr">
        <is>
          <t>Responsable 1</t>
        </is>
      </c>
      <c r="H14" t="inlineStr">
        <is>
          <t>Área 1</t>
        </is>
      </c>
      <c r="I14" s="11" t="n">
        <v>45980</v>
      </c>
      <c r="J14" s="11" t="n">
        <v>45980</v>
      </c>
      <c r="K14" s="8" t="n">
        <v>0.7</v>
      </c>
      <c r="L14" s="8" t="n">
        <v>0.7</v>
      </c>
      <c r="M14" s="10" t="n">
        <v>0.55</v>
      </c>
      <c r="N14" s="10" t="n">
        <v>0.5</v>
      </c>
      <c r="O14" s="10">
        <f>M14/N14</f>
        <v/>
      </c>
      <c r="P14" t="n">
        <v>0</v>
      </c>
      <c r="X14" t="inlineStr">
        <is>
          <t>P</t>
        </is>
      </c>
      <c r="BI14" t="inlineStr">
        <is>
          <t>abc</t>
        </is>
      </c>
      <c r="CN14">
        <f>COUNTIF(R14:BB14,"P")+COUNTIF(R14:BB14,"L")</f>
        <v/>
      </c>
    </row>
    <row r="15">
      <c r="A15" t="n">
        <v>4</v>
      </c>
      <c r="B15" t="inlineStr">
        <is>
          <t>1Q/26</t>
        </is>
      </c>
      <c r="C15" t="inlineStr">
        <is>
          <t>NO</t>
        </is>
      </c>
      <c r="D15" t="inlineStr">
        <is>
          <t>En curso</t>
        </is>
      </c>
      <c r="E15" t="inlineStr">
        <is>
          <t>bvbv</t>
        </is>
      </c>
      <c r="F15" t="inlineStr">
        <is>
          <t>vcv</t>
        </is>
      </c>
      <c r="G15" t="inlineStr">
        <is>
          <t>Adriana Mendieta Bermudez</t>
        </is>
      </c>
      <c r="H15" t="inlineStr">
        <is>
          <t>Tren Marketing B2B</t>
        </is>
      </c>
      <c r="I15" s="11" t="n">
        <v>45966</v>
      </c>
      <c r="J15" s="11" t="n">
        <v>45996</v>
      </c>
      <c r="K15" s="8" t="n">
        <v>0.6</v>
      </c>
      <c r="L15" s="8" t="n">
        <v>0.6</v>
      </c>
      <c r="M15" s="10" t="n">
        <v>0.55</v>
      </c>
      <c r="N15" s="10" t="n">
        <v>0.5</v>
      </c>
      <c r="O15" s="10">
        <f>M15/N15</f>
        <v/>
      </c>
      <c r="P15" t="n">
        <v>0</v>
      </c>
      <c r="Z15" t="inlineStr">
        <is>
          <t>L</t>
        </is>
      </c>
      <c r="BK15" t="inlineStr">
        <is>
          <t>xxx</t>
        </is>
      </c>
      <c r="CN15">
        <f>COUNTIF(R15:BB15,"P")+COUNTIF(R15:BB15,"L")</f>
        <v/>
      </c>
    </row>
    <row r="16">
      <c r="A16" t="n">
        <v>5</v>
      </c>
      <c r="B16" t="inlineStr">
        <is>
          <t>1Q/26</t>
        </is>
      </c>
      <c r="C16" t="inlineStr">
        <is>
          <t>SI</t>
        </is>
      </c>
      <c r="D16" t="inlineStr">
        <is>
          <t>Nuevo</t>
        </is>
      </c>
      <c r="E16" t="inlineStr">
        <is>
          <t>KRYPTON 10</t>
        </is>
      </c>
      <c r="F16" t="inlineStr">
        <is>
          <t>SUPER PERRO</t>
        </is>
      </c>
      <c r="G16" t="inlineStr">
        <is>
          <t>Adriana Rodriguez Garcia</t>
        </is>
      </c>
      <c r="H16" t="inlineStr">
        <is>
          <t>CoE Data y Analítica</t>
        </is>
      </c>
      <c r="I16" s="11" t="n">
        <v>45980</v>
      </c>
      <c r="J16" s="11" t="n">
        <v>45981</v>
      </c>
      <c r="K16" s="8" t="n">
        <v>0.45</v>
      </c>
      <c r="L16" s="8" t="n">
        <v>0.45</v>
      </c>
      <c r="M16" s="10" t="n">
        <v>0.55</v>
      </c>
      <c r="N16" s="10" t="n">
        <v>0.5</v>
      </c>
      <c r="O16" s="10">
        <f>M16/N16</f>
        <v/>
      </c>
      <c r="P16" t="n">
        <v>0</v>
      </c>
      <c r="CN16">
        <f>COUNTIF(R16:BB16,"P")+COUNTIF(R16:BB16,"L")</f>
        <v/>
      </c>
      <c r="CR16" t="n">
        <v>3</v>
      </c>
    </row>
    <row r="17">
      <c r="A17" t="n">
        <v>6</v>
      </c>
      <c r="B17" t="inlineStr">
        <is>
          <t>1Q/26</t>
        </is>
      </c>
      <c r="C17" t="inlineStr">
        <is>
          <t>SI</t>
        </is>
      </c>
      <c r="D17" t="inlineStr">
        <is>
          <t>Nuevo</t>
        </is>
      </c>
      <c r="E17" t="inlineStr">
        <is>
          <t>ABC</t>
        </is>
      </c>
      <c r="F17" t="inlineStr">
        <is>
          <t>SSS</t>
        </is>
      </c>
      <c r="G17" t="inlineStr">
        <is>
          <t>Adriana Rodriguez Garcia</t>
        </is>
      </c>
      <c r="H17" t="inlineStr">
        <is>
          <t>Tren Atención, Retención</t>
        </is>
      </c>
      <c r="I17" s="11" t="n">
        <v>45980</v>
      </c>
      <c r="J17" s="11" t="n">
        <v>45987</v>
      </c>
      <c r="K17" s="8" t="n">
        <v>1</v>
      </c>
      <c r="L17" s="8" t="n">
        <v>1</v>
      </c>
      <c r="M17" s="10" t="n">
        <v>0.55</v>
      </c>
      <c r="N17" s="10" t="n">
        <v>0.5</v>
      </c>
      <c r="O17" s="10">
        <f>M17/N17</f>
        <v/>
      </c>
      <c r="P17" t="n">
        <v>0</v>
      </c>
      <c r="CN17">
        <f>COUNTIF(R17:BB17,"P")+COUNTIF(R17:BB17,"L")</f>
        <v/>
      </c>
    </row>
    <row r="18">
      <c r="A18" t="n">
        <v>7</v>
      </c>
      <c r="B18" t="inlineStr">
        <is>
          <t>1Q/26</t>
        </is>
      </c>
      <c r="C18" t="inlineStr">
        <is>
          <t>SI</t>
        </is>
      </c>
      <c r="D18" t="inlineStr">
        <is>
          <t>En curso</t>
        </is>
      </c>
      <c r="E18" t="inlineStr">
        <is>
          <t>FELIZ NAVIDAD</t>
        </is>
      </c>
      <c r="F18" t="inlineStr">
        <is>
          <t>CELEBRACIÓN</t>
        </is>
      </c>
      <c r="G18" t="inlineStr">
        <is>
          <t>Anny Lisseth Duran Rojas</t>
        </is>
      </c>
      <c r="H18" t="inlineStr">
        <is>
          <t>CELULA BPA</t>
        </is>
      </c>
      <c r="I18" s="11" t="n">
        <v>45980</v>
      </c>
      <c r="J18" s="11" t="n">
        <v>46015</v>
      </c>
      <c r="K18" s="8" t="n">
        <v>0.25</v>
      </c>
      <c r="L18" s="8" t="n">
        <v>0.25</v>
      </c>
      <c r="M18" s="10" t="n">
        <v>0.55</v>
      </c>
      <c r="N18" s="10" t="n">
        <v>0.5</v>
      </c>
      <c r="O18" s="10">
        <f>M18/N18</f>
        <v/>
      </c>
      <c r="P18" t="n">
        <v>0</v>
      </c>
      <c r="CN18">
        <f>COUNTIF(R18:BB18,"P")+COUNTIF(R18:BB18,"L")</f>
        <v/>
      </c>
      <c r="CR18" t="n">
        <v>3</v>
      </c>
    </row>
    <row r="19">
      <c r="A19" t="n">
        <v>8</v>
      </c>
      <c r="B19" t="inlineStr">
        <is>
          <t>1Q/26</t>
        </is>
      </c>
      <c r="C19" t="inlineStr">
        <is>
          <t>SI</t>
        </is>
      </c>
      <c r="D19" t="inlineStr">
        <is>
          <t>Nuevo</t>
        </is>
      </c>
      <c r="E19" t="inlineStr">
        <is>
          <t>KRYPTON 101010</t>
        </is>
      </c>
      <c r="F19" t="inlineStr">
        <is>
          <t>SUPER DOG</t>
        </is>
      </c>
      <c r="G19" t="inlineStr">
        <is>
          <t>Angelica Cano</t>
        </is>
      </c>
      <c r="H19" t="inlineStr">
        <is>
          <t>COE DATA Y ANALÍTICA</t>
        </is>
      </c>
      <c r="I19" s="11" t="n">
        <v>45981</v>
      </c>
      <c r="J19" s="11" t="n">
        <v>45981</v>
      </c>
      <c r="K19" s="8" t="n">
        <v>0.5</v>
      </c>
      <c r="L19" s="8" t="n">
        <v>0.5</v>
      </c>
      <c r="M19" s="8" t="n">
        <v>0.75</v>
      </c>
      <c r="N19" s="8" t="n">
        <v>0.7</v>
      </c>
      <c r="O19" s="10" t="n">
        <v>1.071428571428571</v>
      </c>
      <c r="P19" t="n">
        <v>0</v>
      </c>
      <c r="R19" t="inlineStr">
        <is>
          <t>P</t>
        </is>
      </c>
      <c r="AA19" t="inlineStr">
        <is>
          <t>P</t>
        </is>
      </c>
      <c r="AB19" t="inlineStr">
        <is>
          <t>L</t>
        </is>
      </c>
      <c r="BL19" t="inlineStr">
        <is>
          <t>PRUEBA MODIFICACION</t>
        </is>
      </c>
      <c r="BM19" t="inlineStr">
        <is>
          <t>babababa</t>
        </is>
      </c>
      <c r="CN19">
        <f>COUNTIF(R19:BB19,"P")+COUNTIF(R19:BB19,"L")</f>
        <v/>
      </c>
    </row>
    <row r="20">
      <c r="A20" t="n">
        <v>9</v>
      </c>
      <c r="B20" t="inlineStr">
        <is>
          <t>1Q/26</t>
        </is>
      </c>
      <c r="C20" t="inlineStr">
        <is>
          <t>SI</t>
        </is>
      </c>
      <c r="D20" t="inlineStr">
        <is>
          <t>En curso</t>
        </is>
      </c>
      <c r="E20" t="inlineStr">
        <is>
          <t>VIASUS</t>
        </is>
      </c>
      <c r="F20" t="inlineStr">
        <is>
          <t>VIASUS PRUEBA</t>
        </is>
      </c>
      <c r="G20" t="inlineStr">
        <is>
          <t>Anny Lisseth Duran Rojas</t>
        </is>
      </c>
      <c r="H20" t="inlineStr">
        <is>
          <t>GESTIÓN DE LA DEMANDA</t>
        </is>
      </c>
      <c r="I20" s="11" t="n">
        <v>45987</v>
      </c>
      <c r="J20" s="11" t="n">
        <v>45995</v>
      </c>
      <c r="K20" s="8" t="n">
        <v>0</v>
      </c>
      <c r="L20" s="8" t="n">
        <v>0.75</v>
      </c>
      <c r="M20" s="8" t="n">
        <v>0.76</v>
      </c>
      <c r="N20" s="8" t="n">
        <v>1</v>
      </c>
      <c r="O20" s="10">
        <f>M20/N20</f>
        <v/>
      </c>
      <c r="P20" t="n">
        <v>0</v>
      </c>
      <c r="CN20">
        <f>COUNTIF(R20:BB20,"P")+COUNTIF(R20:BB20,"L")</f>
        <v/>
      </c>
    </row>
    <row r="21">
      <c r="A21" t="n">
        <v>10</v>
      </c>
      <c r="B21" t="inlineStr">
        <is>
          <t>1Q/26</t>
        </is>
      </c>
      <c r="C21" t="inlineStr">
        <is>
          <t>SI</t>
        </is>
      </c>
      <c r="D21" t="inlineStr">
        <is>
          <t>En curso</t>
        </is>
      </c>
      <c r="E21" t="inlineStr">
        <is>
          <t>SUPER MAURO</t>
        </is>
      </c>
      <c r="F21" t="inlineStr">
        <is>
          <t>LIDER INNOVACIÓN</t>
        </is>
      </c>
      <c r="G21" t="inlineStr">
        <is>
          <t>Beatriz Aristizabal</t>
        </is>
      </c>
      <c r="H21" t="inlineStr">
        <is>
          <t>CÉLULA ARQUITECTURA</t>
        </is>
      </c>
      <c r="I21" s="11" t="n">
        <v>45980</v>
      </c>
      <c r="J21" s="11" t="n">
        <v>45987</v>
      </c>
      <c r="K21" t="n">
        <v>0.5</v>
      </c>
      <c r="M21" t="n">
        <v>0</v>
      </c>
      <c r="N21" t="n">
        <v>1</v>
      </c>
      <c r="O21" t="n">
        <v>0</v>
      </c>
      <c r="P21" t="n">
        <v>0</v>
      </c>
      <c r="CN21">
        <f>COUNTIF(R21:BB21,"P")+COUNTIF(R21:BB21,"L")</f>
        <v/>
      </c>
    </row>
    <row r="22">
      <c r="A22" t="n">
        <v>11</v>
      </c>
      <c r="B22" t="inlineStr">
        <is>
          <t>1Q/26</t>
        </is>
      </c>
      <c r="C22" t="inlineStr">
        <is>
          <t>SI</t>
        </is>
      </c>
      <c r="D22" t="inlineStr">
        <is>
          <t>En curso</t>
        </is>
      </c>
      <c r="E22" t="inlineStr">
        <is>
          <t>VIAJE KRYPTON</t>
        </is>
      </c>
      <c r="F22" t="inlineStr">
        <is>
          <t>Viaje a Cali</t>
        </is>
      </c>
      <c r="G22" t="inlineStr">
        <is>
          <t>Misaac Torres C</t>
        </is>
      </c>
      <c r="H22" t="inlineStr">
        <is>
          <t>CÉLULA ARQUITECTURA</t>
        </is>
      </c>
      <c r="I22" s="11" t="n">
        <v>45980</v>
      </c>
      <c r="J22" s="11" t="n">
        <v>45987</v>
      </c>
      <c r="K22" t="n">
        <v>0.6</v>
      </c>
      <c r="M22" t="n">
        <v>0</v>
      </c>
      <c r="N22" t="n">
        <v>1</v>
      </c>
      <c r="O22" t="n">
        <v>0</v>
      </c>
      <c r="P22" t="n">
        <v>0</v>
      </c>
      <c r="CN22">
        <f>COUNTIF(R22:BB22,"P")+COUNTIF(R22:BB22,"L")</f>
        <v/>
      </c>
    </row>
    <row r="23">
      <c r="A23" t="n">
        <v>12</v>
      </c>
      <c r="B23" t="inlineStr">
        <is>
          <t>1Q/26</t>
        </is>
      </c>
      <c r="C23" t="inlineStr">
        <is>
          <t>SI</t>
        </is>
      </c>
      <c r="D23" t="inlineStr">
        <is>
          <t>En curso</t>
        </is>
      </c>
      <c r="E23" t="inlineStr">
        <is>
          <t>12345</t>
        </is>
      </c>
      <c r="F23" t="inlineStr">
        <is>
          <t>aaa</t>
        </is>
      </c>
      <c r="G23" t="inlineStr">
        <is>
          <t>Adriana Mendieta Bermudez</t>
        </is>
      </c>
      <c r="H23" t="inlineStr">
        <is>
          <t>CÉLULA PRUEBAS</t>
        </is>
      </c>
      <c r="I23" s="11" t="n">
        <v>45980</v>
      </c>
      <c r="J23" s="11" t="n">
        <v>45987</v>
      </c>
      <c r="K23" t="n">
        <v>0.25</v>
      </c>
      <c r="M23" t="n">
        <v>0.65</v>
      </c>
      <c r="N23" t="n">
        <v>1</v>
      </c>
      <c r="O23" t="n">
        <v>0.65</v>
      </c>
      <c r="P23" t="n">
        <v>0</v>
      </c>
      <c r="CN23">
        <f>COUNTIF(R23:BB23,"P")+COUNTIF(R23:BB23,"L")</f>
        <v/>
      </c>
    </row>
    <row r="24">
      <c r="A24" t="n">
        <v>13</v>
      </c>
      <c r="B24" t="inlineStr">
        <is>
          <t>1Q/26</t>
        </is>
      </c>
      <c r="C24" t="inlineStr">
        <is>
          <t>NO</t>
        </is>
      </c>
      <c r="D24" t="inlineStr">
        <is>
          <t>Nuevo</t>
        </is>
      </c>
      <c r="E24" t="inlineStr">
        <is>
          <t>12345 Prueba</t>
        </is>
      </c>
      <c r="F24" t="inlineStr">
        <is>
          <t>,Prueba</t>
        </is>
      </c>
      <c r="G24" t="inlineStr">
        <is>
          <t>Misaac Torres C</t>
        </is>
      </c>
      <c r="H24" t="inlineStr">
        <is>
          <t>CÉLULA PLATAFORMAS INTEGRACIÓN</t>
        </is>
      </c>
      <c r="I24" s="11" t="n">
        <v>45981</v>
      </c>
      <c r="J24" s="11" t="n">
        <v>45987</v>
      </c>
      <c r="K24" t="n">
        <v>0.6</v>
      </c>
      <c r="M24" t="n">
        <v>0</v>
      </c>
      <c r="N24" t="n">
        <v>1</v>
      </c>
      <c r="O24" t="n">
        <v>0</v>
      </c>
      <c r="P24" t="n">
        <v>0</v>
      </c>
      <c r="CN24">
        <f>COUNTIF(R24:BB24,"P")+COUNTIF(R24:BB24,"L")</f>
        <v/>
      </c>
    </row>
    <row r="25">
      <c r="A25" t="n">
        <v>14</v>
      </c>
      <c r="B25" t="inlineStr">
        <is>
          <t>1Q/26</t>
        </is>
      </c>
      <c r="C25" t="inlineStr">
        <is>
          <t>SI</t>
        </is>
      </c>
      <c r="D25" t="inlineStr">
        <is>
          <t>Cancelado</t>
        </is>
      </c>
      <c r="E25" t="inlineStr">
        <is>
          <t>ZYX</t>
        </is>
      </c>
      <c r="F25" t="inlineStr">
        <is>
          <t>yxyxyxyxyx</t>
        </is>
      </c>
      <c r="G25" t="inlineStr">
        <is>
          <t>Misaac Torres C</t>
        </is>
      </c>
      <c r="H25" t="inlineStr">
        <is>
          <t>CÉLULA ARQUITECTURA</t>
        </is>
      </c>
      <c r="I25" s="11" t="n">
        <v>45981</v>
      </c>
      <c r="J25" s="11" t="n">
        <v>45988</v>
      </c>
      <c r="K25" t="n">
        <v>0.25</v>
      </c>
      <c r="M25" t="n">
        <v>0</v>
      </c>
      <c r="N25" t="n">
        <v>1</v>
      </c>
      <c r="O25" t="n">
        <v>0</v>
      </c>
      <c r="Y25" t="inlineStr">
        <is>
          <t>L</t>
        </is>
      </c>
      <c r="BJ25" t="inlineStr">
        <is>
          <t>dadad</t>
        </is>
      </c>
      <c r="CN25">
        <f>COUNTIF(R25:BB25,"P")+COUNTIF(R25:BB25,"L")</f>
        <v/>
      </c>
    </row>
    <row r="26">
      <c r="A26" t="n">
        <v>15</v>
      </c>
      <c r="B26" t="inlineStr">
        <is>
          <t>1Q/26</t>
        </is>
      </c>
      <c r="C26" t="inlineStr">
        <is>
          <t>SI</t>
        </is>
      </c>
      <c r="D26" t="inlineStr">
        <is>
          <t>Nuevo</t>
        </is>
      </c>
      <c r="E26" t="inlineStr">
        <is>
          <t>Prueba de proyecto Chapter Scrum</t>
        </is>
      </c>
      <c r="F26" t="inlineStr">
        <is>
          <t>Si si sonido, estamos hablando! :)</t>
        </is>
      </c>
      <c r="G26" t="inlineStr">
        <is>
          <t>Misaac Torres C</t>
        </is>
      </c>
      <c r="H26" t="inlineStr">
        <is>
          <t>CÉLULA INFRAESTRUCTURA NUBE</t>
        </is>
      </c>
      <c r="I26" s="11" t="n">
        <v>45981</v>
      </c>
      <c r="J26" s="11" t="n">
        <v>45995</v>
      </c>
      <c r="K26" t="n">
        <v>0</v>
      </c>
      <c r="M26" t="n">
        <v>0.2</v>
      </c>
      <c r="N26" t="n">
        <v>1</v>
      </c>
      <c r="O26" t="n">
        <v>0.2</v>
      </c>
      <c r="P26" t="n">
        <v>5000</v>
      </c>
      <c r="Q26" t="inlineStr">
        <is>
          <t>Opex</t>
        </is>
      </c>
      <c r="AI26" t="inlineStr">
        <is>
          <t>P</t>
        </is>
      </c>
      <c r="AK26" t="inlineStr">
        <is>
          <t>L</t>
        </is>
      </c>
      <c r="AV26" t="inlineStr">
        <is>
          <t>L</t>
        </is>
      </c>
      <c r="BT26" t="inlineStr">
        <is>
          <t>Hola, 123, 123, hola hola</t>
        </is>
      </c>
      <c r="BV26" t="inlineStr">
        <is>
          <t>Negócienlo con el robot</t>
        </is>
      </c>
      <c r="CG26" t="inlineStr">
        <is>
          <t>Dependencia con ustedes, no me escuchan!!! Me entregan el modelo el spritn 10</t>
        </is>
      </c>
      <c r="CN26" t="n">
        <v>3</v>
      </c>
      <c r="CO26" t="n">
        <v>2</v>
      </c>
      <c r="CP26" t="n">
        <v>1</v>
      </c>
      <c r="CQ26" t="n">
        <v>0.3333333333333333</v>
      </c>
      <c r="CR26" t="n">
        <v>5</v>
      </c>
    </row>
    <row r="27">
      <c r="A27" t="n">
        <v>16</v>
      </c>
      <c r="B27" t="inlineStr">
        <is>
          <t>1Q/26</t>
        </is>
      </c>
      <c r="C27" t="inlineStr">
        <is>
          <t>NO</t>
        </is>
      </c>
      <c r="D27" t="inlineStr">
        <is>
          <t>Nuevo</t>
        </is>
      </c>
      <c r="E27" t="inlineStr">
        <is>
          <t>Prueba de proyecto Chapter Scrum</t>
        </is>
      </c>
      <c r="F27" t="inlineStr">
        <is>
          <t>Si si sonido, estamos hablando! :)</t>
        </is>
      </c>
      <c r="G27" t="inlineStr">
        <is>
          <t>Misaac Torres C</t>
        </is>
      </c>
      <c r="H27" t="inlineStr">
        <is>
          <t>CÉLULA INFRAESTRUCTURA NUBE</t>
        </is>
      </c>
      <c r="I27" s="11" t="n">
        <v>45981</v>
      </c>
      <c r="J27" s="11" t="n">
        <v>45995</v>
      </c>
      <c r="K27" t="n">
        <v>0</v>
      </c>
      <c r="M27" t="n">
        <v>0</v>
      </c>
      <c r="N27" t="n">
        <v>1</v>
      </c>
      <c r="O27" t="n">
        <v>0</v>
      </c>
      <c r="P27" t="n">
        <v>0</v>
      </c>
      <c r="Q27" t="inlineStr">
        <is>
          <t>Ebitda</t>
        </is>
      </c>
      <c r="AI27" t="inlineStr">
        <is>
          <t>P</t>
        </is>
      </c>
      <c r="AK27" t="inlineStr">
        <is>
          <t>L</t>
        </is>
      </c>
      <c r="AV27" t="inlineStr">
        <is>
          <t>P</t>
        </is>
      </c>
      <c r="BT27" t="inlineStr">
        <is>
          <t>Hola, 123, 123, hola hola</t>
        </is>
      </c>
      <c r="BV27" t="inlineStr">
        <is>
          <t>Negociada con el robot</t>
        </is>
      </c>
      <c r="CG27" t="inlineStr">
        <is>
          <t>Dependencia con ustedes, no me escuchan!!!</t>
        </is>
      </c>
      <c r="CN27" t="n">
        <v>3</v>
      </c>
      <c r="CO27" t="n">
        <v>1</v>
      </c>
      <c r="CP27" t="n">
        <v>2</v>
      </c>
      <c r="CQ27" t="n">
        <v>0.6666666666666666</v>
      </c>
    </row>
    <row r="28">
      <c r="A28" t="n">
        <v>17</v>
      </c>
      <c r="B28" t="inlineStr">
        <is>
          <t>1Q/26</t>
        </is>
      </c>
      <c r="C28" t="inlineStr">
        <is>
          <t>NO</t>
        </is>
      </c>
      <c r="D28" t="inlineStr">
        <is>
          <t>En curso</t>
        </is>
      </c>
      <c r="E28" t="inlineStr">
        <is>
          <t>PRUEBA SEMAFORO</t>
        </is>
      </c>
      <c r="F28" t="inlineStr">
        <is>
          <t>BREVE BrB</t>
        </is>
      </c>
      <c r="G28" t="inlineStr">
        <is>
          <t>Bernardo Andres Riascos</t>
        </is>
      </c>
      <c r="H28" t="inlineStr">
        <is>
          <t>COE DATA Y ANALÍTICA</t>
        </is>
      </c>
      <c r="I28" s="25" t="n">
        <v>45981</v>
      </c>
      <c r="J28" s="25" t="n">
        <v>45989</v>
      </c>
      <c r="K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Ingresos B2C</t>
        </is>
      </c>
      <c r="AI28" t="inlineStr">
        <is>
          <t>L</t>
        </is>
      </c>
      <c r="AZ28" t="inlineStr">
        <is>
          <t>L</t>
        </is>
      </c>
      <c r="BT28" t="inlineStr">
        <is>
          <t>prueba 1</t>
        </is>
      </c>
      <c r="CK28" t="inlineStr">
        <is>
          <t>prueba 2</t>
        </is>
      </c>
      <c r="CN28" t="n">
        <v>2</v>
      </c>
      <c r="CO28" t="n">
        <v>2</v>
      </c>
      <c r="CP28" t="n">
        <v>0</v>
      </c>
      <c r="CQ28" t="n">
        <v>0</v>
      </c>
      <c r="CR28" t="n">
        <v>3</v>
      </c>
    </row>
    <row r="29">
      <c r="A29" t="n">
        <v>18</v>
      </c>
      <c r="B29" t="inlineStr">
        <is>
          <t>1Q/26</t>
        </is>
      </c>
      <c r="C29" t="inlineStr">
        <is>
          <t>NO</t>
        </is>
      </c>
      <c r="D29" t="inlineStr">
        <is>
          <t>Nuevo</t>
        </is>
      </c>
      <c r="E29" t="inlineStr">
        <is>
          <t>Prueba de tablero 21 nov</t>
        </is>
      </c>
      <c r="F29" t="inlineStr">
        <is>
          <t>prueba</t>
        </is>
      </c>
      <c r="G29" t="inlineStr">
        <is>
          <t>Misaac Torres C</t>
        </is>
      </c>
      <c r="H29" t="inlineStr">
        <is>
          <t>CÉLULA INFRAESTRUCTURA NUBE</t>
        </is>
      </c>
      <c r="I29" s="25" t="n">
        <v>45982</v>
      </c>
      <c r="J29" s="25" t="n">
        <v>45985</v>
      </c>
      <c r="K29" t="n">
        <v>0.25</v>
      </c>
      <c r="M29" t="n">
        <v>0</v>
      </c>
      <c r="N29" t="n">
        <v>1</v>
      </c>
      <c r="O29" t="n">
        <v>0</v>
      </c>
      <c r="P29" t="n">
        <v>0</v>
      </c>
      <c r="Q29" t="inlineStr">
        <is>
          <t>Ebitda</t>
        </is>
      </c>
      <c r="AG29" t="inlineStr">
        <is>
          <t>P</t>
        </is>
      </c>
      <c r="AK29" t="inlineStr">
        <is>
          <t>P</t>
        </is>
      </c>
      <c r="BR29" t="inlineStr">
        <is>
          <t>erre</t>
        </is>
      </c>
      <c r="BV29" t="inlineStr">
        <is>
          <t>Prueba</t>
        </is>
      </c>
      <c r="CN29" t="n">
        <v>2</v>
      </c>
      <c r="CO29" t="n">
        <v>0</v>
      </c>
      <c r="CP29" t="n">
        <v>2</v>
      </c>
      <c r="CQ29" t="n">
        <v>1</v>
      </c>
      <c r="CR29" t="n">
        <v>5</v>
      </c>
    </row>
    <row r="30">
      <c r="A30" t="n">
        <v>19</v>
      </c>
      <c r="B30" t="inlineStr">
        <is>
          <t>1Q/26</t>
        </is>
      </c>
      <c r="C30" t="inlineStr">
        <is>
          <t>SI</t>
        </is>
      </c>
      <c r="D30" t="inlineStr">
        <is>
          <t>Nuevo</t>
        </is>
      </c>
      <c r="E30" t="inlineStr">
        <is>
          <t>Evolutivo Nov 21 1:29pm</t>
        </is>
      </c>
      <c r="F30" t="inlineStr">
        <is>
          <t>Iteración</t>
        </is>
      </c>
      <c r="G30" t="inlineStr">
        <is>
          <t>Luis Carlos Peña Quintana</t>
        </is>
      </c>
      <c r="H30" t="inlineStr">
        <is>
          <t>COE DATA Y ANALÍTICA</t>
        </is>
      </c>
      <c r="I30" s="25" t="n">
        <v>45982</v>
      </c>
      <c r="J30" s="25" t="n">
        <v>45986</v>
      </c>
      <c r="K30" t="n">
        <v>0</v>
      </c>
      <c r="M30" t="n">
        <v>0.15</v>
      </c>
      <c r="N30" t="n">
        <v>1</v>
      </c>
      <c r="O30" t="n">
        <v>0.15</v>
      </c>
      <c r="P30" t="n">
        <v>0</v>
      </c>
      <c r="Q30" t="inlineStr">
        <is>
          <t>Opex</t>
        </is>
      </c>
      <c r="AA30" t="inlineStr">
        <is>
          <t>P</t>
        </is>
      </c>
      <c r="AH30" t="inlineStr">
        <is>
          <t>P</t>
        </is>
      </c>
      <c r="AI30" t="inlineStr">
        <is>
          <t>P</t>
        </is>
      </c>
      <c r="AZ30" t="inlineStr">
        <is>
          <t>P</t>
        </is>
      </c>
      <c r="BL30" t="inlineStr">
        <is>
          <t>on</t>
        </is>
      </c>
      <c r="BS30" t="inlineStr">
        <is>
          <t>equipos</t>
        </is>
      </c>
      <c r="BT30" t="inlineStr">
        <is>
          <t>arq</t>
        </is>
      </c>
      <c r="CK30" t="inlineStr">
        <is>
          <t>prueba</t>
        </is>
      </c>
      <c r="CN30" t="n">
        <v>4</v>
      </c>
      <c r="CO30" t="n">
        <v>0</v>
      </c>
      <c r="CP30" t="n">
        <v>4</v>
      </c>
      <c r="CQ30" t="n">
        <v>1</v>
      </c>
      <c r="CR30" t="n">
        <v>3</v>
      </c>
    </row>
    <row r="31">
      <c r="A31" t="n">
        <v>20</v>
      </c>
      <c r="B31" t="inlineStr">
        <is>
          <t>1Q/26</t>
        </is>
      </c>
      <c r="C31" t="inlineStr">
        <is>
          <t>NO</t>
        </is>
      </c>
      <c r="D31" t="inlineStr">
        <is>
          <t>Finalizado</t>
        </is>
      </c>
      <c r="E31" t="inlineStr">
        <is>
          <t>PRUEBA NOV 21 3:38 PM</t>
        </is>
      </c>
      <c r="F31" t="inlineStr">
        <is>
          <t>ADSFASDF</t>
        </is>
      </c>
      <c r="G31" t="inlineStr">
        <is>
          <t>Anny Lisseth Duran Rojas</t>
        </is>
      </c>
      <c r="H31" t="inlineStr">
        <is>
          <t>CÉLULA INFRAESTRUCTURA NUBE</t>
        </is>
      </c>
      <c r="I31" s="25" t="n">
        <v>45982</v>
      </c>
      <c r="J31" s="25" t="n">
        <v>45993</v>
      </c>
      <c r="K31" t="n">
        <v>0.25</v>
      </c>
      <c r="M31" t="n">
        <v>0</v>
      </c>
      <c r="N31" t="n">
        <v>1</v>
      </c>
      <c r="O31" t="n">
        <v>0</v>
      </c>
      <c r="P31" t="n">
        <v>0</v>
      </c>
      <c r="Q31" t="inlineStr">
        <is>
          <t>Ebitda</t>
        </is>
      </c>
      <c r="AG31" t="inlineStr">
        <is>
          <t>P</t>
        </is>
      </c>
      <c r="BR31" t="inlineStr">
        <is>
          <t>AADFSDF</t>
        </is>
      </c>
      <c r="CN31" t="n">
        <v>1</v>
      </c>
      <c r="CO31" t="n">
        <v>0</v>
      </c>
      <c r="CP31" t="n">
        <v>1</v>
      </c>
      <c r="CQ31" t="n">
        <v>1</v>
      </c>
    </row>
  </sheetData>
  <mergeCells count="14">
    <mergeCell ref="R3:U3"/>
    <mergeCell ref="V3:Z3"/>
    <mergeCell ref="AL3:AT3"/>
    <mergeCell ref="AW3:BB3"/>
    <mergeCell ref="BG3:BK3"/>
    <mergeCell ref="BW3:CE3"/>
    <mergeCell ref="AU3:AV3"/>
    <mergeCell ref="CF3:CG3"/>
    <mergeCell ref="AA3:AG3"/>
    <mergeCell ref="AH3:AK3"/>
    <mergeCell ref="BC3:BF3"/>
    <mergeCell ref="BS3:BV3"/>
    <mergeCell ref="BL3:BR3"/>
    <mergeCell ref="CH3:C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zoomScale="124" workbookViewId="0">
      <selection activeCell="J4" sqref="J4"/>
    </sheetView>
  </sheetViews>
  <sheetFormatPr baseColWidth="10" defaultColWidth="11.5" defaultRowHeight="16"/>
  <cols>
    <col width="23.5" bestFit="1" customWidth="1" min="2" max="2"/>
    <col width="31.5" bestFit="1" customWidth="1" min="3" max="3"/>
    <col width="31.83203125" bestFit="1" customWidth="1" min="4" max="5"/>
    <col width="35.5" bestFit="1" customWidth="1" min="6" max="6"/>
    <col width="22.83203125" bestFit="1" customWidth="1" min="7" max="7"/>
    <col width="27.5" bestFit="1" customWidth="1" min="8" max="8"/>
    <col width="18.33203125" bestFit="1" customWidth="1" min="9" max="9"/>
  </cols>
  <sheetData>
    <row r="1">
      <c r="A1" s="1" t="inlineStr">
        <is>
          <t>Estado</t>
        </is>
      </c>
      <c r="B1" s="1" t="inlineStr">
        <is>
          <t>PriorizacionQ</t>
        </is>
      </c>
      <c r="C1" s="1" t="inlineStr">
        <is>
          <t>ResponsableProyecto</t>
        </is>
      </c>
      <c r="D1" s="1" t="inlineStr">
        <is>
          <t>Areasolicitante</t>
        </is>
      </c>
      <c r="E1" s="1" t="inlineStr">
        <is>
          <t>AreaTrenCoe</t>
        </is>
      </c>
      <c r="F1" s="1" t="inlineStr">
        <is>
          <t>Celula</t>
        </is>
      </c>
      <c r="G1" s="1" t="inlineStr">
        <is>
          <t>Celula Dependencia</t>
        </is>
      </c>
      <c r="H1" s="1" t="inlineStr">
        <is>
          <t>Celula Descripcion Dependencia</t>
        </is>
      </c>
      <c r="I1" s="1" t="inlineStr">
        <is>
          <t>Iniciativa Estrategica</t>
        </is>
      </c>
    </row>
    <row r="2">
      <c r="A2" t="inlineStr">
        <is>
          <t>Nuevo</t>
        </is>
      </c>
      <c r="B2" t="inlineStr">
        <is>
          <t>2Q/25</t>
        </is>
      </c>
      <c r="C2" t="inlineStr">
        <is>
          <t>Adriana Mendieta Bermudez</t>
        </is>
      </c>
      <c r="D2" s="2" t="inlineStr">
        <is>
          <t>CÉLULA OSS</t>
        </is>
      </c>
      <c r="E2" s="3" t="inlineStr">
        <is>
          <t>Tren Transformación Back  OSS</t>
        </is>
      </c>
      <c r="F2" s="4" t="inlineStr">
        <is>
          <t>CÉLULA OSS</t>
        </is>
      </c>
      <c r="G2" s="4" t="inlineStr">
        <is>
          <t>CÉLULA OSS</t>
        </is>
      </c>
      <c r="H2" s="5" t="inlineStr">
        <is>
          <t>DESCRIPCION CÉLULA OSS</t>
        </is>
      </c>
      <c r="I2" s="19" t="inlineStr">
        <is>
          <t>Ebitda</t>
        </is>
      </c>
    </row>
    <row r="3" ht="16" customHeight="1">
      <c r="A3" t="inlineStr">
        <is>
          <t>En curso</t>
        </is>
      </c>
      <c r="B3" t="inlineStr">
        <is>
          <t>2Q/25 Priorizado</t>
        </is>
      </c>
      <c r="C3" t="inlineStr">
        <is>
          <t>Adriana Milena Rodriguez Cruz</t>
        </is>
      </c>
      <c r="D3" s="2" t="inlineStr">
        <is>
          <t>CÉLULA PLATAFORMAS INTEGRACIÓN</t>
        </is>
      </c>
      <c r="E3" s="6" t="inlineStr">
        <is>
          <t>Tren Transformación Back  OSS</t>
        </is>
      </c>
      <c r="F3" s="4" t="inlineStr">
        <is>
          <t>CÉLULA PLATAFORMAS INTEGRACIÓN</t>
        </is>
      </c>
      <c r="G3" s="4" t="inlineStr">
        <is>
          <t>CÉLULA PLATAFORMAS INTEGRACIÓN</t>
        </is>
      </c>
      <c r="H3" s="5" t="inlineStr">
        <is>
          <t>DESCRIPCION CÉLULA PLATAFORMAS INTEGRACIÓN</t>
        </is>
      </c>
      <c r="I3" s="19" t="inlineStr">
        <is>
          <t>Opex</t>
        </is>
      </c>
    </row>
    <row r="4" ht="16" customHeight="1">
      <c r="A4" t="inlineStr">
        <is>
          <t>Detenido</t>
        </is>
      </c>
      <c r="B4" t="inlineStr">
        <is>
          <t>3Q/25</t>
        </is>
      </c>
      <c r="C4" t="inlineStr">
        <is>
          <t>Adriana Patricia Velásquez Ardila</t>
        </is>
      </c>
      <c r="D4" s="2" t="inlineStr">
        <is>
          <t>CÉLULA SISTEMAS DE APOYO Y DRH
ATLANTIS</t>
        </is>
      </c>
      <c r="E4" s="6" t="inlineStr">
        <is>
          <t>Tren Transformación Back  OSS</t>
        </is>
      </c>
      <c r="F4" s="4" t="inlineStr">
        <is>
          <t>CÉLULA SISTEMAS DE APOYO Y DRH
ATLANTIS</t>
        </is>
      </c>
      <c r="G4" s="4" t="inlineStr">
        <is>
          <t>CÉLULA SISTEMAS DE APOYO Y DRH
ATLANTIS</t>
        </is>
      </c>
      <c r="H4" s="5" t="inlineStr">
        <is>
          <t>DESCRIPCION CÉLULA SISTEMAS DE APOYO Y DRH
ATLANTIS</t>
        </is>
      </c>
      <c r="I4" s="19" t="inlineStr">
        <is>
          <t>NPS</t>
        </is>
      </c>
    </row>
    <row r="5">
      <c r="A5" t="inlineStr">
        <is>
          <t>Cancelado</t>
        </is>
      </c>
      <c r="B5" t="inlineStr">
        <is>
          <t>3Q/25 Priorizado</t>
        </is>
      </c>
      <c r="C5" t="inlineStr">
        <is>
          <t>Adriana Rodriguez Garcia</t>
        </is>
      </c>
      <c r="D5" s="2" t="inlineStr">
        <is>
          <t>CÉLULA SOPORTE CASA CLIENTE</t>
        </is>
      </c>
      <c r="E5" s="6" t="inlineStr">
        <is>
          <t>Tren Transformación Back  OSS</t>
        </is>
      </c>
      <c r="F5" s="4" t="inlineStr">
        <is>
          <t>CÉLULA SOPORTE CASA CLIENTE</t>
        </is>
      </c>
      <c r="G5" s="4" t="inlineStr">
        <is>
          <t>CÉLULA SOPORTE CASA CLIENTE</t>
        </is>
      </c>
      <c r="H5" s="5" t="inlineStr">
        <is>
          <t>DESCRIPCION CÉLULA SOPORTE CASA CLIENTE</t>
        </is>
      </c>
      <c r="I5" s="19" t="inlineStr">
        <is>
          <t>Modelo OP IA</t>
        </is>
      </c>
    </row>
    <row r="6">
      <c r="A6" t="inlineStr">
        <is>
          <t>Finalizado</t>
        </is>
      </c>
      <c r="B6" t="inlineStr">
        <is>
          <t>4Q/25</t>
        </is>
      </c>
      <c r="C6" t="inlineStr">
        <is>
          <t>Alexander Carreño Anzola</t>
        </is>
      </c>
      <c r="D6" s="2" t="inlineStr">
        <is>
          <t>CÉLULA FULLSTAK PROYECTOS</t>
        </is>
      </c>
      <c r="E6" s="3" t="inlineStr">
        <is>
          <t>Tren BSS  OCS</t>
        </is>
      </c>
      <c r="F6" s="4" t="inlineStr">
        <is>
          <t>CÉLULA FULLSTAK PROYECTOS</t>
        </is>
      </c>
      <c r="G6" s="4" t="inlineStr">
        <is>
          <t>CÉLULA FULLSTAK PROYECTOS</t>
        </is>
      </c>
      <c r="H6" s="5" t="inlineStr">
        <is>
          <t>DESCRIPCION CÉLULA FULLSTAK PROYECTOS</t>
        </is>
      </c>
      <c r="I6" s="19" t="inlineStr">
        <is>
          <t>Ingresos B2C</t>
        </is>
      </c>
    </row>
    <row r="7">
      <c r="B7" t="inlineStr">
        <is>
          <t>4Q/25 Priorizado</t>
        </is>
      </c>
      <c r="C7" t="inlineStr">
        <is>
          <t>Alexander Castro Botero</t>
        </is>
      </c>
      <c r="D7" s="2" t="inlineStr">
        <is>
          <t>CÉLULA FULLSTACK SOPORTE</t>
        </is>
      </c>
      <c r="E7" s="6" t="inlineStr">
        <is>
          <t>Tren BSS  OCS</t>
        </is>
      </c>
      <c r="F7" s="4" t="inlineStr">
        <is>
          <t>CÉLULA FULLSTACK SOPORTE</t>
        </is>
      </c>
      <c r="G7" s="4" t="inlineStr">
        <is>
          <t>CÉLULA FULLSTACK SOPORTE</t>
        </is>
      </c>
      <c r="H7" s="5" t="inlineStr">
        <is>
          <t>DESCRIPCION CÉLULA FULLSTACK SOPORTE</t>
        </is>
      </c>
      <c r="I7" s="19" t="inlineStr">
        <is>
          <t>Ingresos B2B</t>
        </is>
      </c>
    </row>
    <row r="8">
      <c r="B8" t="inlineStr">
        <is>
          <t>1Q/26</t>
        </is>
      </c>
      <c r="C8" t="inlineStr">
        <is>
          <t>Ana Yanneth Gonzalez Saenz</t>
        </is>
      </c>
      <c r="D8" s="2" t="inlineStr">
        <is>
          <t>CÉLULA CANALES</t>
        </is>
      </c>
      <c r="E8" s="6" t="inlineStr">
        <is>
          <t>Tren BSS  OCS</t>
        </is>
      </c>
      <c r="F8" s="4" t="inlineStr">
        <is>
          <t>CÉLULA CANALES</t>
        </is>
      </c>
      <c r="G8" s="4" t="inlineStr">
        <is>
          <t>CÉLULA CANALES</t>
        </is>
      </c>
      <c r="H8" s="5" t="inlineStr">
        <is>
          <t>DESCRIPCION CÉLULA CANALES</t>
        </is>
      </c>
    </row>
    <row r="9">
      <c r="B9" t="inlineStr">
        <is>
          <t>1Q/26 Priorizado</t>
        </is>
      </c>
      <c r="C9" t="inlineStr">
        <is>
          <t>Andrea Liznneth Suarez Saenz</t>
        </is>
      </c>
      <c r="D9" s="2" t="inlineStr">
        <is>
          <t>CÉLULA TASADORES</t>
        </is>
      </c>
      <c r="E9" s="6" t="inlineStr">
        <is>
          <t>Tren BSS  OCS</t>
        </is>
      </c>
      <c r="F9" s="4" t="inlineStr">
        <is>
          <t>CÉLULA TASADORES</t>
        </is>
      </c>
      <c r="G9" s="4" t="inlineStr">
        <is>
          <t>CÉLULA TASADORES</t>
        </is>
      </c>
      <c r="H9" s="5" t="inlineStr">
        <is>
          <t>DESCRIPCION CÉLULA TASADORES</t>
        </is>
      </c>
    </row>
    <row r="10">
      <c r="B10" t="inlineStr">
        <is>
          <t>2Q/26</t>
        </is>
      </c>
      <c r="C10" t="inlineStr">
        <is>
          <t>Andrei Alexander Ruiz Ruiz</t>
        </is>
      </c>
      <c r="D10" s="2" t="inlineStr">
        <is>
          <t>PARAMETRIZACIÓN</t>
        </is>
      </c>
      <c r="E10" s="6" t="inlineStr">
        <is>
          <t>Tren BSS  OCS</t>
        </is>
      </c>
      <c r="F10" s="4" t="inlineStr">
        <is>
          <t>PARAMETRIZACIÓN</t>
        </is>
      </c>
      <c r="G10" s="4" t="inlineStr">
        <is>
          <t>PARAMETRIZACIÓN</t>
        </is>
      </c>
      <c r="H10" s="5" t="inlineStr">
        <is>
          <t>DESCRIPCION PARAMETRIZACIÓN</t>
        </is>
      </c>
    </row>
    <row r="11">
      <c r="B11" t="inlineStr">
        <is>
          <t>2Q/26 Priorizado</t>
        </is>
      </c>
      <c r="C11" t="inlineStr">
        <is>
          <t>Andres Castañeda Castañeda</t>
        </is>
      </c>
      <c r="D11" s="2" t="inlineStr">
        <is>
          <t>CÉLULA MONITOREO Y CAPACIDAD</t>
        </is>
      </c>
      <c r="E11" s="3" t="inlineStr">
        <is>
          <t>Tren Infraestructura y Shared Services</t>
        </is>
      </c>
      <c r="F11" s="4" t="inlineStr">
        <is>
          <t>CÉLULA MONITOREO Y CAPACIDAD</t>
        </is>
      </c>
      <c r="G11" s="4" t="inlineStr">
        <is>
          <t>CÉLULA MONITOREO Y CAPACIDAD</t>
        </is>
      </c>
      <c r="H11" s="5" t="inlineStr">
        <is>
          <t>DESCRIPCION CÉLULA MONITOREO Y CAPACIDAD</t>
        </is>
      </c>
    </row>
    <row r="12">
      <c r="B12" t="inlineStr">
        <is>
          <t>3Q/26</t>
        </is>
      </c>
      <c r="C12" t="inlineStr">
        <is>
          <t>Andres Felipe Botero Godoy</t>
        </is>
      </c>
      <c r="D12" s="2" t="inlineStr">
        <is>
          <t>CÉLULA PROBLEMAS E INCIDENTES</t>
        </is>
      </c>
      <c r="E12" s="6" t="inlineStr">
        <is>
          <t>Tren Infraestructura y Shared Services</t>
        </is>
      </c>
      <c r="F12" s="4" t="inlineStr">
        <is>
          <t>CÉLULA PROBLEMAS E INCIDENTES</t>
        </is>
      </c>
      <c r="G12" s="4" t="inlineStr">
        <is>
          <t>CÉLULA PROBLEMAS E INCIDENTES</t>
        </is>
      </c>
      <c r="H12" s="5" t="inlineStr">
        <is>
          <t>DESCRIPCION CÉLULA PROBLEMAS E INCIDENTES</t>
        </is>
      </c>
    </row>
    <row r="13">
      <c r="B13" t="inlineStr">
        <is>
          <t>3Q/26 Priorizado</t>
        </is>
      </c>
      <c r="C13" t="inlineStr">
        <is>
          <t>Andres Ricardo Vargas Murcia</t>
        </is>
      </c>
      <c r="D13" s="2" t="inlineStr">
        <is>
          <t>CÉLULA SAM GESTIÓN USUARIOS</t>
        </is>
      </c>
      <c r="E13" s="6" t="inlineStr">
        <is>
          <t>Tren Infraestructura y Shared Services</t>
        </is>
      </c>
      <c r="F13" s="4" t="inlineStr">
        <is>
          <t>CÉLULA SAM GESTIÓN USUARIOS</t>
        </is>
      </c>
      <c r="G13" s="4" t="inlineStr">
        <is>
          <t>CÉLULA SAM GESTIÓN USUARIOS</t>
        </is>
      </c>
      <c r="H13" s="5" t="inlineStr">
        <is>
          <t>DESCRIPCION CÉLULA SAM GESTIÓN USUARIOS</t>
        </is>
      </c>
    </row>
    <row r="14">
      <c r="B14" t="inlineStr">
        <is>
          <t>4Q/26</t>
        </is>
      </c>
      <c r="C14" t="inlineStr">
        <is>
          <t>Angela  Pava</t>
        </is>
      </c>
      <c r="D14" s="2" t="inlineStr">
        <is>
          <t>CÉLULA AIOPS TI</t>
        </is>
      </c>
      <c r="E14" s="6" t="inlineStr">
        <is>
          <t>Tren Infraestructura y Shared Services</t>
        </is>
      </c>
      <c r="F14" s="4" t="inlineStr">
        <is>
          <t>CÉLULA AIOPS TI</t>
        </is>
      </c>
      <c r="G14" s="4" t="inlineStr">
        <is>
          <t>CÉLULA AIOPS TI</t>
        </is>
      </c>
      <c r="H14" s="5" t="inlineStr">
        <is>
          <t>DESCRIPCION CÉLULA AIOPS TI</t>
        </is>
      </c>
    </row>
    <row r="15">
      <c r="B15" t="inlineStr">
        <is>
          <t>4Q/26 Priorizado</t>
        </is>
      </c>
      <c r="C15" t="inlineStr">
        <is>
          <t>Angela Lorena Gutierrez Guzman</t>
        </is>
      </c>
      <c r="D15" s="2" t="inlineStr">
        <is>
          <t>CÉLULA HELPDESK</t>
        </is>
      </c>
      <c r="E15" s="6" t="inlineStr">
        <is>
          <t>Tren Infraestructura y Shared Services</t>
        </is>
      </c>
      <c r="F15" s="4" t="inlineStr">
        <is>
          <t>CÉLULA HELPDESK</t>
        </is>
      </c>
      <c r="G15" s="4" t="inlineStr">
        <is>
          <t>CÉLULA HELPDESK</t>
        </is>
      </c>
      <c r="H15" s="5" t="inlineStr">
        <is>
          <t>DESCRIPCION CÉLULA HELPDESK</t>
        </is>
      </c>
    </row>
    <row r="16" ht="16" customHeight="1">
      <c r="C16" t="inlineStr">
        <is>
          <t>Angela Lucia Daza Lacera</t>
        </is>
      </c>
      <c r="D16" s="2" t="inlineStr">
        <is>
          <t>CÉLULA INFRAESTRUCTURA ON PREMISE</t>
        </is>
      </c>
      <c r="E16" s="6" t="inlineStr">
        <is>
          <t>Tren Infraestructura y Shared Services</t>
        </is>
      </c>
      <c r="F16" s="4" t="inlineStr">
        <is>
          <t>CÉLULA INFRAESTRUCTURA ON PREMISE</t>
        </is>
      </c>
      <c r="G16" s="4" t="inlineStr">
        <is>
          <t>CÉLULA INFRAESTRUCTURA ON PREMISE</t>
        </is>
      </c>
      <c r="H16" s="5" t="inlineStr">
        <is>
          <t>DESCRIPCION CÉLULA INFRAESTRUCTURA ON PREMISE</t>
        </is>
      </c>
    </row>
    <row r="17">
      <c r="C17" t="inlineStr">
        <is>
          <t xml:space="preserve">Angelica Cano </t>
        </is>
      </c>
      <c r="D17" s="2" t="inlineStr">
        <is>
          <t>CÉLULA REDES TI</t>
        </is>
      </c>
      <c r="E17" s="6" t="inlineStr">
        <is>
          <t>Tren Infraestructura y Shared Services</t>
        </is>
      </c>
      <c r="F17" s="4" t="inlineStr">
        <is>
          <t>CÉLULA REDES TI</t>
        </is>
      </c>
      <c r="G17" s="4" t="inlineStr">
        <is>
          <t>CÉLULA REDES TI</t>
        </is>
      </c>
      <c r="H17" s="5" t="inlineStr">
        <is>
          <t>DESCRIPCION CÉLULA REDES TI</t>
        </is>
      </c>
    </row>
    <row r="18">
      <c r="C18" t="inlineStr">
        <is>
          <t>Anny Lisseth Duran Rojas</t>
        </is>
      </c>
      <c r="D18" s="2" t="inlineStr">
        <is>
          <t>CÉLULA WORKPLACE</t>
        </is>
      </c>
      <c r="E18" s="3" t="inlineStr">
        <is>
          <t>Tren Producción Digital</t>
        </is>
      </c>
      <c r="F18" s="4" t="inlineStr">
        <is>
          <t>CÉLULA WORKPLACE</t>
        </is>
      </c>
      <c r="G18" s="4" t="inlineStr">
        <is>
          <t>CÉLULA WORKPLACE</t>
        </is>
      </c>
      <c r="H18" s="5" t="inlineStr">
        <is>
          <t>DESCRIPCION CÉLULA WORKPLACE</t>
        </is>
      </c>
    </row>
    <row r="19">
      <c r="C19" t="inlineStr">
        <is>
          <t>Arlette Patricia Baez Acosta</t>
        </is>
      </c>
      <c r="D19" s="2" t="inlineStr">
        <is>
          <t>CÉLULA ARQUITECTURA</t>
        </is>
      </c>
      <c r="E19" s="6" t="inlineStr">
        <is>
          <t>Tren Producción Digital</t>
        </is>
      </c>
      <c r="F19" s="4" t="inlineStr">
        <is>
          <t>CÉLULA ARQUITECTURA</t>
        </is>
      </c>
      <c r="G19" s="4" t="inlineStr">
        <is>
          <t>CÉLULA ARQUITECTURA</t>
        </is>
      </c>
      <c r="H19" s="5" t="inlineStr">
        <is>
          <t>DESCRIPCION CÉLULA ARQUITECTURA</t>
        </is>
      </c>
    </row>
    <row r="20">
      <c r="C20" t="inlineStr">
        <is>
          <t>Aura Rosa Beltran Amezquita</t>
        </is>
      </c>
      <c r="D20" s="2" t="inlineStr">
        <is>
          <t>CÉLULA INFRAESTRUCTURA NUBE</t>
        </is>
      </c>
      <c r="E20" s="6" t="inlineStr">
        <is>
          <t>Tren Producción Digital</t>
        </is>
      </c>
      <c r="F20" s="4" t="inlineStr">
        <is>
          <t>CÉLULA INFRAESTRUCTURA NUBE</t>
        </is>
      </c>
      <c r="G20" s="4" t="inlineStr">
        <is>
          <t>CÉLULA INFRAESTRUCTURA NUBE</t>
        </is>
      </c>
      <c r="H20" s="5" t="inlineStr">
        <is>
          <t>DESCRIPCION CÉLULA INFRAESTRUCTURA NUBE</t>
        </is>
      </c>
    </row>
    <row r="21">
      <c r="C21" t="inlineStr">
        <is>
          <t>Ayda Fabiola Lozano Otalora</t>
        </is>
      </c>
      <c r="D21" s="2" t="inlineStr">
        <is>
          <t>CÉLULA RPAS</t>
        </is>
      </c>
      <c r="E21" s="6" t="inlineStr">
        <is>
          <t>Tren Producción Digital</t>
        </is>
      </c>
      <c r="F21" s="4" t="inlineStr">
        <is>
          <t>CÉLULA RPAS</t>
        </is>
      </c>
      <c r="G21" s="4" t="inlineStr">
        <is>
          <t>CÉLULA RPAS</t>
        </is>
      </c>
      <c r="H21" s="5" t="inlineStr">
        <is>
          <t>DESCRIPCION CÉLULA RPAS</t>
        </is>
      </c>
    </row>
    <row r="22">
      <c r="C22" t="inlineStr">
        <is>
          <t>Beatriz Aristizabal</t>
        </is>
      </c>
      <c r="D22" s="2" t="inlineStr">
        <is>
          <t>TREN PRODUCTO B2C</t>
        </is>
      </c>
      <c r="E22" s="7" t="inlineStr">
        <is>
          <t>TRENES NEGOCIO</t>
        </is>
      </c>
      <c r="F22" s="4" t="inlineStr">
        <is>
          <t>TREN PRODUCTO B2C</t>
        </is>
      </c>
      <c r="G22" s="4" t="inlineStr">
        <is>
          <t>TREN PRODUCTO B2C</t>
        </is>
      </c>
      <c r="H22" s="5" t="inlineStr">
        <is>
          <t>DESCRIPCION TREN PRODUCTO B2C</t>
        </is>
      </c>
    </row>
    <row r="23">
      <c r="C23" t="inlineStr">
        <is>
          <t>Bernardo Andres Riascos</t>
        </is>
      </c>
      <c r="D23" s="2" t="inlineStr">
        <is>
          <t>TREN MOVISTAR TOTAL</t>
        </is>
      </c>
      <c r="E23" s="6" t="inlineStr">
        <is>
          <t>TRENES NEGOCIO</t>
        </is>
      </c>
      <c r="F23" s="4" t="inlineStr">
        <is>
          <t>TREN MOVISTAR TOTAL</t>
        </is>
      </c>
      <c r="G23" s="4" t="inlineStr">
        <is>
          <t>TREN MOVISTAR TOTAL</t>
        </is>
      </c>
      <c r="H23" s="5" t="inlineStr">
        <is>
          <t>DESCRIPCION TREN MOVISTAR TOTAL</t>
        </is>
      </c>
    </row>
    <row r="24">
      <c r="C24" t="inlineStr">
        <is>
          <t>Betty Yadira Melo Pineda</t>
        </is>
      </c>
      <c r="D24" s="2" t="inlineStr">
        <is>
          <t>TREN MÓVIL</t>
        </is>
      </c>
      <c r="E24" s="6" t="inlineStr">
        <is>
          <t>TRENES NEGOCIO</t>
        </is>
      </c>
      <c r="F24" s="4" t="inlineStr">
        <is>
          <t>TREN MÓVIL</t>
        </is>
      </c>
      <c r="G24" s="4" t="inlineStr">
        <is>
          <t>TREN MÓVIL</t>
        </is>
      </c>
      <c r="H24" s="5" t="inlineStr">
        <is>
          <t>DESCRIPCION TREN MÓVIL</t>
        </is>
      </c>
    </row>
    <row r="25">
      <c r="C25" t="inlineStr">
        <is>
          <t>Camilo Alberto Gutierrez Toro</t>
        </is>
      </c>
      <c r="D25" s="2" t="inlineStr">
        <is>
          <t>TREN MARKETING B2B</t>
        </is>
      </c>
      <c r="E25" s="6" t="inlineStr">
        <is>
          <t>TRENES NEGOCIO</t>
        </is>
      </c>
      <c r="F25" s="4" t="inlineStr">
        <is>
          <t>TREN MARKETING B2B</t>
        </is>
      </c>
      <c r="G25" s="4" t="inlineStr">
        <is>
          <t>TREN MARKETING B2B</t>
        </is>
      </c>
      <c r="H25" s="5" t="inlineStr">
        <is>
          <t>DESCRIPCION TREN MARKETING B2B</t>
        </is>
      </c>
    </row>
    <row r="26">
      <c r="C26" t="inlineStr">
        <is>
          <t>Camilo Alfonso Charum Arrieta</t>
        </is>
      </c>
      <c r="D26" s="2" t="inlineStr">
        <is>
          <t>TREN FARECO</t>
        </is>
      </c>
      <c r="E26" s="6" t="inlineStr">
        <is>
          <t>TRENES NEGOCIO</t>
        </is>
      </c>
      <c r="F26" s="4" t="inlineStr">
        <is>
          <t>TREN FARECO</t>
        </is>
      </c>
      <c r="G26" s="4" t="inlineStr">
        <is>
          <t>TREN FARECO</t>
        </is>
      </c>
      <c r="H26" s="5" t="inlineStr">
        <is>
          <t>DESCRIPCION TREN FARECO</t>
        </is>
      </c>
    </row>
    <row r="27">
      <c r="C27" t="inlineStr">
        <is>
          <t>Camilo Torres Orjuela</t>
        </is>
      </c>
      <c r="D27" s="2" t="inlineStr">
        <is>
          <t>TREN E-CARE CROSS</t>
        </is>
      </c>
      <c r="E27" s="6" t="inlineStr">
        <is>
          <t>TRENES NEGOCIO</t>
        </is>
      </c>
      <c r="F27" s="4" t="inlineStr">
        <is>
          <t>TREN E-CARE CROSS</t>
        </is>
      </c>
      <c r="G27" s="4" t="inlineStr">
        <is>
          <t>TREN E-CARE CROSS</t>
        </is>
      </c>
      <c r="H27" s="5" t="inlineStr">
        <is>
          <t>DESCRIPCION TREN E-CARE CROSS</t>
        </is>
      </c>
    </row>
    <row r="28">
      <c r="C28" t="inlineStr">
        <is>
          <t>Camilo Vahos</t>
        </is>
      </c>
      <c r="D28" s="2" t="inlineStr">
        <is>
          <t>TREN CANALES DE PAGO</t>
        </is>
      </c>
      <c r="E28" s="6" t="inlineStr">
        <is>
          <t>TRENES NEGOCIO</t>
        </is>
      </c>
      <c r="F28" s="4" t="inlineStr">
        <is>
          <t>TREN CANALES DE PAGO</t>
        </is>
      </c>
      <c r="G28" s="4" t="inlineStr">
        <is>
          <t>TREN CANALES DE PAGO</t>
        </is>
      </c>
      <c r="H28" s="5" t="inlineStr">
        <is>
          <t>DESCRIPCION TREN CANALES DE PAGO</t>
        </is>
      </c>
    </row>
    <row r="29" ht="16" customHeight="1">
      <c r="C29" t="inlineStr">
        <is>
          <t>Carlos Andres Melo Morales</t>
        </is>
      </c>
      <c r="D29" s="2" t="inlineStr">
        <is>
          <t>TREN ATENCIÓN, RETENCIÓN CALL  CROSS</t>
        </is>
      </c>
      <c r="E29" s="6" t="inlineStr">
        <is>
          <t>TRENES NEGOCIO</t>
        </is>
      </c>
      <c r="F29" s="4" t="inlineStr">
        <is>
          <t>TREN ATENCIÓN, RETENCIÓN CALL  CROSS</t>
        </is>
      </c>
      <c r="G29" s="4" t="inlineStr">
        <is>
          <t>TREN ATENCIÓN, RETENCIÓN CALL  CROSS</t>
        </is>
      </c>
      <c r="H29" s="5" t="inlineStr">
        <is>
          <t>DESCRIPCION TREN ATENCIÓN, RETENCIÓN CALL  CROSS</t>
        </is>
      </c>
    </row>
    <row r="30">
      <c r="C30" t="inlineStr">
        <is>
          <t>Carlos Arturo Guerra Ospina</t>
        </is>
      </c>
      <c r="D30" s="2" t="inlineStr">
        <is>
          <t xml:space="preserve">TREN SOPORTE A LA OPERACIÓN </t>
        </is>
      </c>
      <c r="E30" s="6" t="inlineStr">
        <is>
          <t>TRENES NEGOCIO</t>
        </is>
      </c>
      <c r="F30" s="4" t="inlineStr">
        <is>
          <t xml:space="preserve">TREN SOPORTE A LA OPERACIÓN </t>
        </is>
      </c>
      <c r="G30" s="4" t="inlineStr">
        <is>
          <t xml:space="preserve">TREN SOPORTE A LA OPERACIÓN </t>
        </is>
      </c>
      <c r="H30" s="5" t="inlineStr">
        <is>
          <t xml:space="preserve">DESCRIPCION TREN SOPORTE A LA OPERACIÓN </t>
        </is>
      </c>
    </row>
    <row r="31">
      <c r="C31" t="inlineStr">
        <is>
          <t>Carol Viviana Herrera Nova</t>
        </is>
      </c>
      <c r="D31" s="2" t="inlineStr">
        <is>
          <t>COE CALIDAD Y EXPERIENCIA</t>
        </is>
      </c>
      <c r="E31" s="7" t="inlineStr">
        <is>
          <t>COEs</t>
        </is>
      </c>
      <c r="F31" s="4" t="inlineStr">
        <is>
          <t>COE CALIDAD Y EXPERIENCIA</t>
        </is>
      </c>
      <c r="G31" s="4" t="inlineStr">
        <is>
          <t>COE CALIDAD Y EXPERIENCIA</t>
        </is>
      </c>
      <c r="H31" s="5" t="inlineStr">
        <is>
          <t>DESCRIPCION COE CALIDAD Y EXPERIENCIA</t>
        </is>
      </c>
    </row>
    <row r="32">
      <c r="C32" t="inlineStr">
        <is>
          <t>Carolay Camacho Sanchez</t>
        </is>
      </c>
      <c r="D32" s="2" t="inlineStr">
        <is>
          <t>COE DATA Y ANALÍTICA</t>
        </is>
      </c>
      <c r="E32" s="6" t="inlineStr">
        <is>
          <t>COEs</t>
        </is>
      </c>
      <c r="F32" s="4" t="inlineStr">
        <is>
          <t>COE DATA Y ANALÍTICA</t>
        </is>
      </c>
      <c r="G32" s="4" t="inlineStr">
        <is>
          <t>COE DATA Y ANALÍTICA</t>
        </is>
      </c>
      <c r="H32" s="5" t="inlineStr">
        <is>
          <t>DESCRIPCION COE DATA Y ANALÍTICA</t>
        </is>
      </c>
    </row>
    <row r="33">
      <c r="C33" t="inlineStr">
        <is>
          <t>Carolay Camacho Sanchez</t>
        </is>
      </c>
      <c r="D33" s="2" t="inlineStr">
        <is>
          <t>CELULA CANALES REMOTOS</t>
        </is>
      </c>
      <c r="E33" s="7" t="inlineStr">
        <is>
          <t>COE DESARROLLO</t>
        </is>
      </c>
      <c r="F33" s="4" t="inlineStr">
        <is>
          <t>CELULA CANALES REMOTOS</t>
        </is>
      </c>
      <c r="G33" s="4" t="inlineStr">
        <is>
          <t>CELULA CANALES REMOTOS</t>
        </is>
      </c>
      <c r="H33" s="5" t="inlineStr">
        <is>
          <t>DESCRIPCION CELULA CANALES REMOTOS</t>
        </is>
      </c>
    </row>
    <row r="34">
      <c r="C34" t="inlineStr">
        <is>
          <t>Carolina Cardona Jhon</t>
        </is>
      </c>
      <c r="D34" s="2" t="inlineStr">
        <is>
          <t>CELULA BPA</t>
        </is>
      </c>
      <c r="E34" s="6" t="inlineStr">
        <is>
          <t>COE DESARROLLO</t>
        </is>
      </c>
      <c r="F34" s="4" t="inlineStr">
        <is>
          <t>CELULA BPA</t>
        </is>
      </c>
      <c r="G34" s="4" t="inlineStr">
        <is>
          <t>CELULA BPA</t>
        </is>
      </c>
      <c r="H34" s="5" t="inlineStr">
        <is>
          <t>DESCRIPCION CELULA BPA</t>
        </is>
      </c>
    </row>
    <row r="35">
      <c r="C35" t="inlineStr">
        <is>
          <t>Carolina Garzón Lizarazo</t>
        </is>
      </c>
      <c r="D35" s="2" t="inlineStr">
        <is>
          <t>CÉLULA PRUEBAS</t>
        </is>
      </c>
      <c r="E35" s="6" t="inlineStr">
        <is>
          <t>COE DESARROLLO</t>
        </is>
      </c>
      <c r="F35" s="4" t="inlineStr">
        <is>
          <t>CÉLULA PRUEBAS</t>
        </is>
      </c>
      <c r="G35" s="4" t="inlineStr">
        <is>
          <t>CÉLULA PRUEBAS</t>
        </is>
      </c>
      <c r="H35" s="5" t="inlineStr">
        <is>
          <t>DESCRIPCION CÉLULA PRUEBAS</t>
        </is>
      </c>
    </row>
    <row r="36">
      <c r="C36" t="inlineStr">
        <is>
          <t>Claudia Lucia Laiton Sotelo</t>
        </is>
      </c>
      <c r="D36" s="2" t="inlineStr">
        <is>
          <t>CHAPTER DESARROLLO</t>
        </is>
      </c>
      <c r="E36" s="6" t="inlineStr">
        <is>
          <t>COE DESARROLLO</t>
        </is>
      </c>
      <c r="F36" s="4" t="inlineStr">
        <is>
          <t>CHAPTER DESARROLLO</t>
        </is>
      </c>
      <c r="G36" s="4" t="inlineStr">
        <is>
          <t>CHAPTER DESARROLLO</t>
        </is>
      </c>
      <c r="H36" s="5" t="inlineStr">
        <is>
          <t>DESCRIPCION CHAPTER DESARROLLO</t>
        </is>
      </c>
    </row>
    <row r="37">
      <c r="C37" t="inlineStr">
        <is>
          <t>Cristian Albarracín</t>
        </is>
      </c>
      <c r="D37" s="2" t="inlineStr">
        <is>
          <t xml:space="preserve">GESTIÓN DE LA DEMANDA </t>
        </is>
      </c>
      <c r="E37" s="6" t="inlineStr">
        <is>
          <t>COE DESARROLLO</t>
        </is>
      </c>
      <c r="F37" s="4" t="inlineStr">
        <is>
          <t xml:space="preserve">GESTIÓN DE LA DEMANDA </t>
        </is>
      </c>
      <c r="G37" s="4" t="inlineStr">
        <is>
          <t xml:space="preserve">GESTIÓN DE LA DEMANDA </t>
        </is>
      </c>
      <c r="H37" s="5" t="inlineStr">
        <is>
          <t xml:space="preserve">DESCRIPCION GESTIÓN DE LA DEMANDA </t>
        </is>
      </c>
    </row>
    <row r="38">
      <c r="C38" t="inlineStr">
        <is>
          <t>Cristian Andres Sepulveda Loaiza</t>
        </is>
      </c>
      <c r="D38" s="2" t="inlineStr">
        <is>
          <t>CELULA DEVOPS</t>
        </is>
      </c>
      <c r="E38" s="6" t="inlineStr">
        <is>
          <t>COE DESARROLLO</t>
        </is>
      </c>
      <c r="F38" s="4" t="inlineStr">
        <is>
          <t>CELULA DEVOPS</t>
        </is>
      </c>
      <c r="G38" s="4" t="inlineStr">
        <is>
          <t>CELULA DEVOPS</t>
        </is>
      </c>
      <c r="H38" s="5" t="inlineStr">
        <is>
          <t>DESCRIPCION CELULA DEVOPS</t>
        </is>
      </c>
    </row>
    <row r="39">
      <c r="C39" t="inlineStr">
        <is>
          <t>Danghely Rodríguez</t>
        </is>
      </c>
    </row>
    <row r="40">
      <c r="C40" t="inlineStr">
        <is>
          <t>Daniel Ortega</t>
        </is>
      </c>
    </row>
    <row r="41">
      <c r="C41" t="inlineStr">
        <is>
          <t>Daniela Aricapa Muñoz</t>
        </is>
      </c>
    </row>
    <row r="42">
      <c r="C42" t="inlineStr">
        <is>
          <t>David Andres Dueñas Rincon</t>
        </is>
      </c>
    </row>
    <row r="43">
      <c r="C43" t="inlineStr">
        <is>
          <t>David Felipe Vera Castillo</t>
        </is>
      </c>
    </row>
    <row r="44">
      <c r="C44" t="inlineStr">
        <is>
          <t>Diana Carolina Corredor Issa</t>
        </is>
      </c>
    </row>
    <row r="45">
      <c r="C45" t="inlineStr">
        <is>
          <t>Diana Carolina Rodriguez Casas</t>
        </is>
      </c>
    </row>
    <row r="46">
      <c r="C46" t="inlineStr">
        <is>
          <t>Diana Carolina Zarate Ruiz</t>
        </is>
      </c>
    </row>
    <row r="47">
      <c r="C47" t="inlineStr">
        <is>
          <t>Diana Pacheco</t>
        </is>
      </c>
    </row>
    <row r="48">
      <c r="C48" t="inlineStr">
        <is>
          <t>Diana Paola Romero</t>
        </is>
      </c>
    </row>
    <row r="49">
      <c r="C49" t="inlineStr">
        <is>
          <t>Diana Patricia Bernal Yermanos</t>
        </is>
      </c>
    </row>
    <row r="50">
      <c r="C50" t="inlineStr">
        <is>
          <t>Diana Rocio Ayala Cardenas</t>
        </is>
      </c>
    </row>
    <row r="51">
      <c r="C51" t="inlineStr">
        <is>
          <t>Diego Felipe Gomez Pinto</t>
        </is>
      </c>
    </row>
    <row r="52">
      <c r="C52" t="inlineStr">
        <is>
          <t>Diego Fernando Peralta Villegas</t>
        </is>
      </c>
    </row>
    <row r="53">
      <c r="C53" t="inlineStr">
        <is>
          <t>Diego Gomez Gaona</t>
        </is>
      </c>
    </row>
    <row r="54">
      <c r="C54" t="inlineStr">
        <is>
          <t>Edgar David Hernandez Aguirre</t>
        </is>
      </c>
    </row>
    <row r="55">
      <c r="C55" t="inlineStr">
        <is>
          <t>Edgar Hernan Lopez Jimenez</t>
        </is>
      </c>
    </row>
    <row r="56">
      <c r="C56" t="inlineStr">
        <is>
          <t>Edson Armando Garcia Correa</t>
        </is>
      </c>
    </row>
    <row r="57">
      <c r="C57" t="inlineStr">
        <is>
          <t>Elkin Mauricio Moreno Cetina</t>
        </is>
      </c>
    </row>
    <row r="58">
      <c r="C58" t="inlineStr">
        <is>
          <t>Elkin Rodriguez</t>
        </is>
      </c>
    </row>
    <row r="59">
      <c r="C59" t="inlineStr">
        <is>
          <t>Erika Del PIlar Maldonado Ruiz</t>
        </is>
      </c>
    </row>
    <row r="60">
      <c r="C60" t="inlineStr">
        <is>
          <t>Estefany Karime Vergel Arteaga</t>
        </is>
      </c>
    </row>
    <row r="61">
      <c r="C61" t="inlineStr">
        <is>
          <t>Faride Guerrero</t>
        </is>
      </c>
    </row>
    <row r="62">
      <c r="C62" t="inlineStr">
        <is>
          <t>Freddy Alexander Padilla</t>
        </is>
      </c>
    </row>
    <row r="63">
      <c r="C63" t="inlineStr">
        <is>
          <t>Gerlain Niño</t>
        </is>
      </c>
    </row>
    <row r="64">
      <c r="C64" t="inlineStr">
        <is>
          <t>German Alberto Cifuentes Romero</t>
        </is>
      </c>
    </row>
    <row r="65">
      <c r="C65" t="inlineStr">
        <is>
          <t>German Guillermo Juliao Olivero</t>
        </is>
      </c>
    </row>
    <row r="66">
      <c r="C66" t="inlineStr">
        <is>
          <t>Gerson Hamilton Cespedes Rios</t>
        </is>
      </c>
    </row>
    <row r="67">
      <c r="C67" t="inlineStr">
        <is>
          <t>Gerson Omar Aponte Montaguth</t>
        </is>
      </c>
    </row>
    <row r="68">
      <c r="C68" t="inlineStr">
        <is>
          <t>Giovanny Prieto Angulo</t>
        </is>
      </c>
    </row>
    <row r="69">
      <c r="C69" t="inlineStr">
        <is>
          <t>Hans Ricardo Garcia Bedoya</t>
        </is>
      </c>
    </row>
    <row r="70">
      <c r="C70" t="inlineStr">
        <is>
          <t>Harvey Oswaldo Rios Rivera</t>
        </is>
      </c>
    </row>
    <row r="71">
      <c r="C71" t="inlineStr">
        <is>
          <t>Helena Marin</t>
        </is>
      </c>
    </row>
    <row r="72">
      <c r="C72" t="inlineStr">
        <is>
          <t>Helver Jussef Lopez Abril</t>
        </is>
      </c>
    </row>
    <row r="73">
      <c r="C73" t="inlineStr">
        <is>
          <t>Hernando Jose Escobar Uribe</t>
        </is>
      </c>
    </row>
    <row r="74">
      <c r="C74" t="inlineStr">
        <is>
          <t>Holmes Granados</t>
        </is>
      </c>
    </row>
    <row r="75">
      <c r="C75" t="inlineStr">
        <is>
          <t>Hugo Ferney Gomez Gonzalez</t>
        </is>
      </c>
    </row>
    <row r="76">
      <c r="C76" t="inlineStr">
        <is>
          <t>Ivan Felipe Bejarano Gantiva</t>
        </is>
      </c>
    </row>
    <row r="77">
      <c r="C77" t="inlineStr">
        <is>
          <t>Jaime Alberto Sierra Sierra</t>
        </is>
      </c>
    </row>
    <row r="78">
      <c r="C78" t="inlineStr">
        <is>
          <t>Jairo Fernando Diaz Toro</t>
        </is>
      </c>
    </row>
    <row r="79">
      <c r="C79" t="inlineStr">
        <is>
          <t>Jairo Vicente Saavedra Torres</t>
        </is>
      </c>
    </row>
    <row r="80">
      <c r="C80" t="inlineStr">
        <is>
          <t>Javier Alonso Forero Herrera</t>
        </is>
      </c>
    </row>
    <row r="81">
      <c r="C81" t="inlineStr">
        <is>
          <t>Javier Armando Lopez Garzon</t>
        </is>
      </c>
    </row>
    <row r="82">
      <c r="C82" t="inlineStr">
        <is>
          <t>Javier Cardozo</t>
        </is>
      </c>
    </row>
    <row r="83">
      <c r="C83" t="inlineStr">
        <is>
          <t>Javier Martinez Cardenas</t>
        </is>
      </c>
    </row>
    <row r="84">
      <c r="C84" t="inlineStr">
        <is>
          <t>Javier Mauricio Gonzalez Nuñez</t>
        </is>
      </c>
    </row>
    <row r="85">
      <c r="C85" t="inlineStr">
        <is>
          <t xml:space="preserve">Javier Parra </t>
        </is>
      </c>
    </row>
    <row r="86">
      <c r="C86" t="inlineStr">
        <is>
          <t>Jhon Alexander Martinez Santana</t>
        </is>
      </c>
    </row>
    <row r="87">
      <c r="C87" t="inlineStr">
        <is>
          <t>Jimmy Casas Aragon</t>
        </is>
      </c>
    </row>
    <row r="88">
      <c r="C88" t="inlineStr">
        <is>
          <t>Johanna Alexandra Zambrano Ramirez</t>
        </is>
      </c>
    </row>
    <row r="89">
      <c r="C89" t="inlineStr">
        <is>
          <t>John Calderón</t>
        </is>
      </c>
    </row>
    <row r="90">
      <c r="C90" t="inlineStr">
        <is>
          <t>John Fredy Ospina Rojas</t>
        </is>
      </c>
    </row>
    <row r="91">
      <c r="C91" t="inlineStr">
        <is>
          <t>John Marin Bernal</t>
        </is>
      </c>
    </row>
    <row r="92">
      <c r="C92" t="inlineStr">
        <is>
          <t>Juan David Giraldo Zamora</t>
        </is>
      </c>
    </row>
    <row r="93">
      <c r="C93" t="inlineStr">
        <is>
          <t>Julieth Andrea Rodriguez</t>
        </is>
      </c>
    </row>
    <row r="94">
      <c r="C94" t="inlineStr">
        <is>
          <t>Karen Patricia Charris Orozco</t>
        </is>
      </c>
    </row>
    <row r="95">
      <c r="C95" t="inlineStr">
        <is>
          <t>Kelly Johanna Meza Vital</t>
        </is>
      </c>
    </row>
    <row r="96">
      <c r="C96" t="inlineStr">
        <is>
          <t>Laura Alejandra Pérez Huerfano</t>
        </is>
      </c>
    </row>
    <row r="97">
      <c r="C97" t="inlineStr">
        <is>
          <t>Leonardo Ariza Vargas</t>
        </is>
      </c>
    </row>
    <row r="98">
      <c r="C98" t="inlineStr">
        <is>
          <t>Liliana Rojas Guerra</t>
        </is>
      </c>
    </row>
    <row r="99">
      <c r="C99" t="inlineStr">
        <is>
          <t>Liliana Romero</t>
        </is>
      </c>
    </row>
    <row r="100">
      <c r="C100" t="inlineStr">
        <is>
          <t>Lina Marcela Pardo Angulo</t>
        </is>
      </c>
    </row>
    <row r="101">
      <c r="C101" t="inlineStr">
        <is>
          <t>Lina Marcela Rodriguez Riveros</t>
        </is>
      </c>
    </row>
    <row r="102">
      <c r="C102" t="inlineStr">
        <is>
          <t>Lina Maria González Ortiz</t>
        </is>
      </c>
    </row>
    <row r="103">
      <c r="C103" t="inlineStr">
        <is>
          <t>Lorena Gutierrez</t>
        </is>
      </c>
    </row>
    <row r="104">
      <c r="C104" t="inlineStr">
        <is>
          <t>Lucy Acevedo</t>
        </is>
      </c>
    </row>
    <row r="105">
      <c r="C105" t="inlineStr">
        <is>
          <t>Luis Antonio Jaimes Fernandez</t>
        </is>
      </c>
    </row>
    <row r="106">
      <c r="C106" t="inlineStr">
        <is>
          <t>Luis Carlos Peña Quintana</t>
        </is>
      </c>
    </row>
    <row r="107">
      <c r="C107" t="inlineStr">
        <is>
          <t>Luis Enrique Roncancio Rozo</t>
        </is>
      </c>
    </row>
    <row r="108">
      <c r="C108" t="inlineStr">
        <is>
          <t>Luis Humberto Varela Cortes</t>
        </is>
      </c>
    </row>
    <row r="109">
      <c r="C109" t="inlineStr">
        <is>
          <t>Luisa Fernanda Alcala Tabares</t>
        </is>
      </c>
    </row>
    <row r="110">
      <c r="C110" t="inlineStr">
        <is>
          <t>Luz Cristina Ramirez Acero</t>
        </is>
      </c>
    </row>
    <row r="111">
      <c r="C111" t="inlineStr">
        <is>
          <t>Manuel Arevalo Sarmiento</t>
        </is>
      </c>
    </row>
    <row r="112">
      <c r="C112" t="inlineStr">
        <is>
          <t>Manuel Jose Martínez Ospina</t>
        </is>
      </c>
    </row>
    <row r="113">
      <c r="C113" t="inlineStr">
        <is>
          <t>Manuel Leonardo Salgado Olmos</t>
        </is>
      </c>
    </row>
    <row r="114">
      <c r="C114" t="inlineStr">
        <is>
          <t>Manuel Vicente Suarez Medina</t>
        </is>
      </c>
    </row>
    <row r="115">
      <c r="C115" t="inlineStr">
        <is>
          <t>Maria Antonia Castillo Sanchez</t>
        </is>
      </c>
    </row>
    <row r="116">
      <c r="C116" t="inlineStr">
        <is>
          <t>Maria Catalina Toro</t>
        </is>
      </c>
    </row>
    <row r="117">
      <c r="C117" t="inlineStr">
        <is>
          <t>Maria Mercedes Mosquera Ramirez</t>
        </is>
      </c>
    </row>
    <row r="118">
      <c r="C118" t="inlineStr">
        <is>
          <t>Mariela Figueredo Garces</t>
        </is>
      </c>
    </row>
    <row r="119">
      <c r="C119" t="inlineStr">
        <is>
          <t>Maryory Sotelo Marin</t>
        </is>
      </c>
    </row>
    <row r="120">
      <c r="C120" t="inlineStr">
        <is>
          <t>Maryuri Jaramillo Martinez</t>
        </is>
      </c>
    </row>
    <row r="121">
      <c r="C121" t="inlineStr">
        <is>
          <t>Melina Correcha</t>
        </is>
      </c>
    </row>
    <row r="122">
      <c r="C122" t="inlineStr">
        <is>
          <t>Michael Ernesto Bocanegra Casas</t>
        </is>
      </c>
    </row>
    <row r="123">
      <c r="C123" t="inlineStr">
        <is>
          <t>Miguel Antonio Martinez Pulecio</t>
        </is>
      </c>
    </row>
    <row r="124">
      <c r="C124" t="inlineStr">
        <is>
          <t>Myriam Carolina Rubiano Barrera</t>
        </is>
      </c>
    </row>
    <row r="125">
      <c r="C125" t="inlineStr">
        <is>
          <t>Myrian Amaya Salcedo</t>
        </is>
      </c>
    </row>
    <row r="126">
      <c r="C126" t="inlineStr">
        <is>
          <t>Natalia Del Carmen Torrente Delgado</t>
        </is>
      </c>
    </row>
    <row r="127">
      <c r="C127" t="inlineStr">
        <is>
          <t>Natalia Sepulveda</t>
        </is>
      </c>
    </row>
    <row r="128">
      <c r="C128" t="inlineStr">
        <is>
          <t>Nelson Armando Ariza Morales</t>
        </is>
      </c>
    </row>
    <row r="129">
      <c r="C129" t="inlineStr">
        <is>
          <t>Nidia Santos</t>
        </is>
      </c>
    </row>
    <row r="130">
      <c r="C130" t="inlineStr">
        <is>
          <t>Oscar David Jaimes Calderon</t>
        </is>
      </c>
    </row>
    <row r="131">
      <c r="C131" t="inlineStr">
        <is>
          <t>Oscar Felipe Narvaez Joaqui</t>
        </is>
      </c>
    </row>
    <row r="132">
      <c r="C132" t="inlineStr">
        <is>
          <t>Oscar Freddy Niampira Gamba</t>
        </is>
      </c>
    </row>
    <row r="133">
      <c r="C133" t="inlineStr">
        <is>
          <t>Oscar Ivan Olaya Tunjano</t>
        </is>
      </c>
    </row>
    <row r="134">
      <c r="C134" t="inlineStr">
        <is>
          <t>Oscar Mauricio Cabrera Cuervo</t>
        </is>
      </c>
    </row>
    <row r="135">
      <c r="C135" t="inlineStr">
        <is>
          <t>Peter Burrowes</t>
        </is>
      </c>
    </row>
    <row r="136">
      <c r="C136" t="inlineStr">
        <is>
          <t>Piedad Pico Duarte</t>
        </is>
      </c>
    </row>
    <row r="137">
      <c r="C137" t="inlineStr">
        <is>
          <t>Raúl Delgado</t>
        </is>
      </c>
    </row>
    <row r="138">
      <c r="C138" t="inlineStr">
        <is>
          <t>Ricardo Andres Bohorquez Cubillos</t>
        </is>
      </c>
    </row>
    <row r="139">
      <c r="C139" t="inlineStr">
        <is>
          <t>Ricardo Bohorquez (E)</t>
        </is>
      </c>
    </row>
    <row r="140">
      <c r="C140" t="inlineStr">
        <is>
          <t>Riyesbi Jose Camacho Villamizar</t>
        </is>
      </c>
    </row>
    <row r="141">
      <c r="C141" t="inlineStr">
        <is>
          <t>Rodrigo Antonio Barrera Barrera</t>
        </is>
      </c>
    </row>
    <row r="142">
      <c r="C142" t="inlineStr">
        <is>
          <t>Rodrigo Rodriguez</t>
        </is>
      </c>
    </row>
    <row r="143">
      <c r="C143" t="inlineStr">
        <is>
          <t>Roger Javier Polo Pacheco</t>
        </is>
      </c>
    </row>
    <row r="144">
      <c r="C144" t="inlineStr">
        <is>
          <t>Samuel Eduardo Galvis Ochoa</t>
        </is>
      </c>
    </row>
    <row r="145">
      <c r="C145" t="inlineStr">
        <is>
          <t>Sandra Constanza Polanco Polania</t>
        </is>
      </c>
    </row>
    <row r="146">
      <c r="C146" t="inlineStr">
        <is>
          <t>Sandra Milena Loaiza Puerta</t>
        </is>
      </c>
    </row>
    <row r="147">
      <c r="C147" t="inlineStr">
        <is>
          <t>Sandra Milena Rincon Sandoval</t>
        </is>
      </c>
    </row>
    <row r="148">
      <c r="C148" t="inlineStr">
        <is>
          <t>Sandra Patricia Rocabado Gutierrez</t>
        </is>
      </c>
    </row>
    <row r="149">
      <c r="C149" t="inlineStr">
        <is>
          <t>Sandra Patricia Sandoval Ramirez</t>
        </is>
      </c>
    </row>
    <row r="150">
      <c r="C150" t="inlineStr">
        <is>
          <t>Sandra Torres</t>
        </is>
      </c>
    </row>
    <row r="151">
      <c r="C151" t="inlineStr">
        <is>
          <t>Victor Hugo Cardenas Ramirez</t>
        </is>
      </c>
    </row>
    <row r="152">
      <c r="C152" t="inlineStr">
        <is>
          <t>Victor Hugo Ospina Uribe</t>
        </is>
      </c>
    </row>
    <row r="153">
      <c r="C153" t="inlineStr">
        <is>
          <t>William Alexander Romero Rey</t>
        </is>
      </c>
    </row>
    <row r="154">
      <c r="C154" t="inlineStr">
        <is>
          <t>Willinton Ferney Aldana Barbosa</t>
        </is>
      </c>
    </row>
    <row r="155">
      <c r="C155" t="inlineStr">
        <is>
          <t>Yasmid Sanchez Mendoza</t>
        </is>
      </c>
    </row>
    <row r="156">
      <c r="C156" t="inlineStr">
        <is>
          <t>Yovanny Manrique</t>
        </is>
      </c>
    </row>
    <row r="157">
      <c r="C157" t="inlineStr">
        <is>
          <t>Zulay Tereza Rodríguez Rodríguez</t>
        </is>
      </c>
    </row>
    <row r="158">
      <c r="C158" t="inlineStr">
        <is>
          <t>Misaac Torres 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D5" sqref="D5"/>
    </sheetView>
  </sheetViews>
  <sheetFormatPr baseColWidth="10" defaultRowHeight="16"/>
  <cols>
    <col width="13.1640625" bestFit="1" customWidth="1" min="1" max="1"/>
  </cols>
  <sheetData>
    <row r="1">
      <c r="A1" s="24" t="inlineStr">
        <is>
          <t>SUGERENCIAS</t>
        </is>
      </c>
    </row>
    <row r="2">
      <c r="A2" t="inlineStr">
        <is>
          <t>Misaac</t>
        </is>
      </c>
      <c r="B2" t="inlineStr">
        <is>
          <t>Cundo selecciono todos los trenes, no se solapen sobre el front</t>
        </is>
      </c>
    </row>
    <row r="3">
      <c r="A3" t="inlineStr">
        <is>
          <t>Misaac</t>
        </is>
      </c>
      <c r="B3" t="inlineStr">
        <is>
          <t>Las metricas en datos, se solapan sobre la grafica</t>
        </is>
      </c>
    </row>
    <row r="4">
      <c r="A4" t="inlineStr">
        <is>
          <t>Misaac</t>
        </is>
      </c>
      <c r="B4" t="inlineStr">
        <is>
          <t>Tren detectado: (sin equipos asignados), deberia mostrar el tren detectado y mostralo al usuario</t>
        </is>
      </c>
    </row>
    <row r="5">
      <c r="A5" t="inlineStr">
        <is>
          <t>Misaac</t>
        </is>
      </c>
      <c r="B5" t="inlineStr">
        <is>
          <t>Boton de guardar, debe ir al proyecto siguiente, en ambas mesas expertos y Posync</t>
        </is>
      </c>
    </row>
    <row r="6">
      <c r="B6" t="inlineStr">
        <is>
          <t>Tren detectado: (sin equipos asignados), esto debe quitarse y mostrar el Tren o Coe al que hace referencia la celula.</t>
        </is>
      </c>
    </row>
    <row r="7">
      <c r="A7" t="inlineStr">
        <is>
          <t>mtc</t>
        </is>
      </c>
      <c r="B7" t="inlineStr">
        <is>
          <t>cuando ingreso un nombre, el menu de seleccion se va para abajo, deberia mantenerse en una zona clara para el usuario.</t>
        </is>
      </c>
    </row>
    <row r="8">
      <c r="A8" t="inlineStr">
        <is>
          <t>mtc</t>
        </is>
      </c>
      <c r="B8" t="inlineStr">
        <is>
          <t>un boton de refrescar de la aplicacion</t>
        </is>
      </c>
    </row>
    <row r="9">
      <c r="A9" t="inlineStr">
        <is>
          <t>mtc</t>
        </is>
      </c>
      <c r="B9" t="inlineStr">
        <is>
          <t>cuando guarde el alta de proyectos refresque los campos</t>
        </is>
      </c>
    </row>
    <row r="10">
      <c r="A10" t="inlineStr">
        <is>
          <t>mtc</t>
        </is>
      </c>
      <c r="B10" t="inlineStr">
        <is>
          <t>hay un traslape en la informacion de proyectos en el tablero en la mesa de expertos</t>
        </is>
      </c>
    </row>
    <row r="11">
      <c r="A11" t="inlineStr">
        <is>
          <t>mtc</t>
        </is>
      </c>
      <c r="B11" t="inlineStr">
        <is>
          <t>no hay numeracion de cuantos proyectos totales en el filtro y cuantos faltan por revisar, en mesa de expertos y PO sync mesa, tampoco el boton de guardar dice "guardar y siguiente", si no tiene dependencias, prende todos los colores del semaforo, un proyecto siempre deberia tener al menos una dependencia.</t>
        </is>
      </c>
    </row>
    <row r="12">
      <c r="A12" t="inlineStr">
        <is>
          <t>mtc</t>
        </is>
      </c>
      <c r="B12" t="inlineStr">
        <is>
          <t>bueno si muestra cuantos totales y falta, pero esta en la parte de abajo, yo re distribuiria para que la inforamcion se viera toda en una sola vista.</t>
        </is>
      </c>
    </row>
    <row r="13">
      <c r="A13" t="inlineStr">
        <is>
          <t>mtc</t>
        </is>
      </c>
      <c r="B13" t="inlineStr">
        <is>
          <t>en po sync mesa, tambien se traslapa si selecciono todos los datos.</t>
        </is>
      </c>
    </row>
    <row r="14">
      <c r="A14" t="inlineStr">
        <is>
          <t>MISAAC</t>
        </is>
      </c>
      <c r="B14" t="inlineStr">
        <is>
          <t>VOLVER A LA VIDA UN PROYECTO CANCELADO O DETENIDO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MISAAC TORRES CUERVO</dc:creator>
  <dcterms:created xmlns:dcterms="http://purl.org/dc/terms/" xmlns:xsi="http://www.w3.org/2001/XMLSchema-instance" xsi:type="dcterms:W3CDTF">2025-11-20T19:22:57Z</dcterms:created>
  <dcterms:modified xmlns:dcterms="http://purl.org/dc/terms/" xmlns:xsi="http://www.w3.org/2001/XMLSchema-instance" xsi:type="dcterms:W3CDTF">2025-11-21T20:40:30Z</dcterms:modified>
  <cp:lastModifiedBy>MISAAC TORRES CUERVO</cp:lastModifiedBy>
</cp:coreProperties>
</file>